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4" activeTab="0" autoFilterDateGrouping="1"/>
  </bookViews>
  <sheets>
    <sheet xmlns:r="http://schemas.openxmlformats.org/officeDocument/2006/relationships" name="01_ACCUEIL" sheetId="1" state="visible" r:id="rId1"/>
    <sheet xmlns:r="http://schemas.openxmlformats.org/officeDocument/2006/relationships" name="02_DONNEES" sheetId="2" state="visible" r:id="rId2"/>
    <sheet xmlns:r="http://schemas.openxmlformats.org/officeDocument/2006/relationships" name="03_TABLEAU_DE_BORD" sheetId="3" state="visible" r:id="rId3"/>
    <sheet xmlns:r="http://schemas.openxmlformats.org/officeDocument/2006/relationships" name="04_FEC_BRUT" sheetId="4" state="visible" r:id="rId4"/>
    <sheet xmlns:r="http://schemas.openxmlformats.org/officeDocument/2006/relationships" name="05_DSN_BRUT" sheetId="5" state="visible" r:id="rId5"/>
    <sheet xmlns:r="http://schemas.openxmlformats.org/officeDocument/2006/relationships" name="06_BALANCE_ESG" sheetId="6" state="visible" r:id="rId6"/>
    <sheet xmlns:r="http://schemas.openxmlformats.org/officeDocument/2006/relationships" name="07_SOCIAL_DSN" sheetId="7" state="visible" r:id="rId7"/>
    <sheet xmlns:r="http://schemas.openxmlformats.org/officeDocument/2006/relationships" name="08_CONTROLES" sheetId="8" state="visible" r:id="rId8"/>
    <sheet xmlns:r="http://schemas.openxmlformats.org/officeDocument/2006/relationships" name="09_PARAMETRES_SOURCES" sheetId="9" state="visible" r:id="rId9"/>
    <sheet xmlns:r="http://schemas.openxmlformats.org/officeDocument/2006/relationships" name="10_METHODOLOGIE" sheetId="10" state="visible" r:id="rId10"/>
  </sheets>
  <definedNames>
    <definedName name="P_PREF">'09_PARAMETRES_SOURCES'!$A$27:$A$133</definedName>
    <definedName name="P_IND">'09_PARAMETRES_SOURCES'!$B$27:$B$133</definedName>
    <definedName name="P_PIL">'09_PARAMETRES_SOURCES'!$C$27:$C$133</definedName>
    <definedName name="P_THE">'09_PARAMETRES_SOURCES'!$D$27:$D$133</definedName>
    <definedName name="P_ESRS">'09_PARAMETRES_SOURCES'!$E$27:$E$133</definedName>
    <definedName name="P_SCOPE">'09_PARAMETRES_SOURCES'!$F$27:$F$133</definedName>
    <definedName name="P_UNIT">'09_PARAMETRES_SOURCES'!$G$27:$G$133</definedName>
    <definedName name="P_METH">'09_PARAMETRES_SOURCES'!$H$27:$H$133</definedName>
    <definedName name="P_TYPE">'09_PARAMETRES_SOURCES'!$I$27:$I$133</definedName>
    <definedName name="P_FEUR">'09_PARAMETRES_SOURCES'!$J$27:$J$133</definedName>
    <definedName name="P_FEPH">'09_PARAMETRES_SOURCES'!$K$27:$K$133</definedName>
    <definedName name="P_FEMO">'09_PARAMETRES_SOURCES'!$L$27:$L$133</definedName>
    <definedName name="URL_TEST_MAJ">'09_PARAMETRES_SOURCES'!$C$142</definedName>
    <definedName name="MAJ_GLOBALE">'09_PARAMETRES_SOURCES'!$C$143</definedName>
    <definedName name="BG_CPT">'06_BALANCE_ESG'!$A$5:$A$5004</definedName>
    <definedName name="BG_CLASSE">'06_BALANCE_ESG'!$C$5:$C$5004</definedName>
    <definedName name="BG_PREF2">'06_BALANCE_ESG'!$D$5:$D$5004</definedName>
    <definedName name="BG_MONTANT">'06_BALANCE_ESG'!$H$5:$H$5004</definedName>
    <definedName name="BG_INDIC">'06_BALANCE_ESG'!$J$5:$J$5004</definedName>
    <definedName name="BG_PILIER">'06_BALANCE_ESG'!$K$5:$K$5004</definedName>
    <definedName name="BG_THEME">'06_BALANCE_ESG'!$L$5:$L$5004</definedName>
    <definedName name="BG_ESRS">'06_BALANCE_ESG'!$M$5:$M$5004</definedName>
    <definedName name="BG_SCOPE">'06_BALANCE_ESG'!$N$5:$N$5004</definedName>
    <definedName name="BG_UNITE">'06_BALANCE_ESG'!$O$5:$O$5004</definedName>
    <definedName name="BG_QTE">'06_BALANCE_ESG'!$U$5:$U$5004</definedName>
    <definedName name="BG_TCO2">'06_BALANCE_ESG'!$W$5:$W$5004</definedName>
    <definedName name="D_MOIS">'07_SOCIAL_DSN'!$A$5:$A$40</definedName>
    <definedName name="D_EFF">'07_SOCIAL_DSN'!$B$5:$B$40</definedName>
    <definedName name="D_H">'07_SOCIAL_DSN'!$C$5:$C$40</definedName>
    <definedName name="D_F">'07_SOCIAL_DSN'!$D$5:$D$40</definedName>
    <definedName name="D_ETP">'07_SOCIAL_DSN'!$E$5:$E$40</definedName>
    <definedName name="D_CDI">'07_SOCIAL_DSN'!$F$5:$F$40</definedName>
    <definedName name="D_CDD">'07_SOCIAL_DSN'!$G$5:$G$40</definedName>
    <definedName name="D_AGE">'07_SOCIAL_DSN'!$H$5:$H$40</definedName>
    <definedName name="D_CONV">'07_SOCIAL_DSN'!$K$5:$K$40</definedName>
    <definedName name="D_REMH">'07_SOCIAL_DSN'!$L$5:$L$40</definedName>
    <definedName name="D_REMF">'07_SOCIAL_DSN'!$M$5:$M$40</definedName>
    <definedName name="D_SMIC">'07_SOCIAL_DSN'!$N$5:$N$40</definedName>
    <definedName name="M_ENERGIE_DECL">'02_DONNEES'!$D$7</definedName>
    <definedName name="M_PART_COMBUST">'02_DONNEES'!$D$8</definedName>
    <definedName name="M_ELEC_RENOUV">'02_DONNEES'!$D$9</definedName>
    <definedName name="M_SCOPE1_DECL">'02_DONNEES'!$D$10</definedName>
    <definedName name="M_SCOPE2_DECL">'02_DONNEES'!$D$11</definedName>
    <definedName name="M_EAU_M3">'02_DONNEES'!$D$14</definedName>
    <definedName name="M_EAU_PRELEV">'02_DONNEES'!$D$15</definedName>
    <definedName name="M_STRESS_HYDR">'02_DONNEES'!$D$16</definedName>
    <definedName name="M_POLLUANTS">'02_DONNEES'!$D$17</definedName>
    <definedName name="M_BIODIV_SITES">'02_DONNEES'!$D$18</definedName>
    <definedName name="M_SURFACE">'02_DONNEES'!$D$19</definedName>
    <definedName name="M_SURFACE_IMPER">'02_DONNEES'!$D$20</definedName>
    <definedName name="M_DECHET_T">'02_DONNEES'!$D$21</definedName>
    <definedName name="M_DECHET_DANGEREUX">'02_DONNEES'!$D$22</definedName>
    <definedName name="M_DECHET_VALOR">'02_DONNEES'!$D$23</definedName>
    <definedName name="M_FLUX_MATIERES">'02_DONNEES'!$D$24</definedName>
    <definedName name="M_CARBURANT">'02_DONNEES'!$D$25</definedName>
    <definedName name="M_AT">'02_DONNEES'!$D$28</definedName>
    <definedName name="M_AT_JOURS">'02_DONNEES'!$D$29</definedName>
    <definedName name="M_AT_DECES">'02_DONNEES'!$D$30</definedName>
    <definedName name="M_ABSENCE_JOURS">'02_DONNEES'!$D$31</definedName>
    <definedName name="M_FORM_HEURES">'02_DONNEES'!$D$32</definedName>
    <definedName name="M_FORM_HEURES_F">'02_DONNEES'!$D$33</definedName>
    <definedName name="M_FORM_HEURES_H">'02_DONNEES'!$D$34</definedName>
    <definedName name="M_FORM_EFFECTIF">'02_DONNEES'!$D$35</definedName>
    <definedName name="M_FEMMES_CADRES">'02_DONNEES'!$D$36</definedName>
    <definedName name="M_TURN_DEP">'02_DONNEES'!$D$37</definedName>
    <definedName name="M_TURN_ARR">'02_DONNEES'!$D$38</definedName>
    <definedName name="M_SMIC_MENSUEL">'02_DONNEES'!$D$39</definedName>
    <definedName name="M_REFERENTIEL">'02_DONNEES'!$D$42</definedName>
    <definedName name="M_CODE_CONDUITE">'02_DONNEES'!$D$43</definedName>
    <definedName name="M_POL_DURABLE">'02_DONNEES'!$D$44</definedName>
    <definedName name="M_SOC_MISSION">'02_DONNEES'!$D$45</definedName>
    <definedName name="M_ACHAT_LOCAL">'02_DONNEES'!$D$46</definedName>
    <definedName name="M_CONDAMNATIONS">'02_DONNEES'!$D$47</definedName>
    <definedName name="M_AMENDES">'02_DONNEES'!$D$48</definedName>
    <definedName name="M_OBJ_CO2">'02_DONNEES'!$D$51</definedName>
    <definedName name="M_OBJ_FEMMES">'02_DONNEES'!$D$52</definedName>
    <definedName name="M_OBJ_FORM">'02_DONNEES'!$D$53</definedName>
    <definedName name="CA">'08_CONTROLES'!$C$14</definedName>
    <definedName name="PRODUITS">'08_CONTROLES'!$C$15</definedName>
    <definedName name="CHARGES">'08_CONTROLES'!$C$16</definedName>
    <definedName name="GES1">'08_CONTROLES'!$C$17</definedName>
    <definedName name="GES2">'08_CONTROLES'!$C$18</definedName>
    <definedName name="GES3">'08_CONTROLES'!$C$19</definedName>
    <definedName name="GES_TOT">'08_CONTROLES'!$C$20</definedName>
    <definedName name="ENER_ELEC">'08_CONTROLES'!$C$21</definedName>
    <definedName name="ENER_GAZ">'08_CONTROLES'!$C$22</definedName>
    <definedName name="ENER_CHAL">'08_CONTROLES'!$C$23</definedName>
    <definedName name="ENER_TOT">'08_CONTROLES'!$C$24</definedName>
    <definedName name="EAU_AUTO">'08_CONTROLES'!$C$25</definedName>
    <definedName name="EAU_M3">'08_CONTROLES'!$C$26</definedName>
    <definedName name="EAU_PRELEV_RET">'08_CONTROLES'!$C$27</definedName>
    <definedName name="DECHET_T">'08_CONTROLES'!$C$28</definedName>
    <definedName name="SCOPE1_RET">'08_CONTROLES'!$C$29</definedName>
    <definedName name="SCOPE2_RET">'08_CONTROLES'!$C$30</definedName>
    <definedName name="GES_RET">'08_CONTROLES'!$C$31</definedName>
    <definedName name="ENER_MWH">'08_CONTROLES'!$C$32</definedName>
    <definedName name="MASSE_SAL">'08_CONTROLES'!$C$33</definedName>
    <definedName name="CHARGES_SOC">'08_CONTROLES'!$C$34</definedName>
    <definedName name="PILOTAGE_ESG">'08_CONTROLES'!$C$35</definedName>
    <definedName name="DONS">'08_CONTROLES'!$C$36</definedName>
    <definedName name="FISCAL">'08_CONTROLES'!$C$37</definedName>
    <definedName name="EFF">'08_CONTROLES'!$C$38</definedName>
    <definedName name="ETP">'08_CONTROLES'!$C$39</definedName>
    <definedName name="H_AVG">'08_CONTROLES'!$C$40</definedName>
    <definedName name="F_AVG">'08_CONTROLES'!$C$41</definedName>
    <definedName name="PCT_F">'08_CONTROLES'!$C$42</definedName>
    <definedName name="CDI_AVG">'08_CONTROLES'!$C$43</definedName>
    <definedName name="CDD_AVG">'08_CONTROLES'!$C$44</definedName>
    <definedName name="PCT_CDI">'08_CONTROLES'!$C$45</definedName>
    <definedName name="AGE">'08_CONTROLES'!$C$46</definedName>
    <definedName name="PCT_CONV">'08_CONTROLES'!$C$47</definedName>
    <definedName name="REMH">'08_CONTROLES'!$C$48</definedName>
    <definedName name="REMF">'08_CONTROLES'!$C$49</definedName>
    <definedName name="ECART_REMU">'08_CONTROLES'!$C$50</definedName>
    <definedName name="NSMIC_AVG">'08_CONTROLES'!$C$51</definedName>
    <definedName name="PCT_SMIC">'08_CONTROLES'!$C$52</definedName>
    <definedName name="PARAM_DOSSIER">'01_ACCUEIL'!$C$6</definedName>
    <definedName name="PARAM_FEC">'01_ACCUEIL'!$C$7</definedName>
    <definedName name="PARAM_DSNEXT">'01_ACCUEIL'!$C$8</definedName>
    <definedName name="ZONE_STATUT">'01_ACCUEIL'!$A$26</definedName>
  </definedNames>
  <calcPr calcId="191029" fullCalcOnLoad="1" forceFullCalc="1"/>
</workbook>
</file>

<file path=xl/styles.xml><?xml version="1.0" encoding="utf-8"?>
<styleSheet xmlns="http://schemas.openxmlformats.org/spreadsheetml/2006/main">
  <numFmts count="13">
    <numFmt numFmtId="164" formatCode="#,##0.000"/>
    <numFmt numFmtId="165" formatCode="dd/mm/yyyy"/>
    <numFmt numFmtId="166" formatCode="#,##0.0000"/>
    <numFmt numFmtId="167" formatCode="#,##0.00 €"/>
    <numFmt numFmtId="168" formatCode="#,##0.0"/>
    <numFmt numFmtId="169" formatCode="0.0%"/>
    <numFmt numFmtId="170" formatCode="#,##0 &quot;m3&quot;"/>
    <numFmt numFmtId="171" formatCode="#,##0.0 &quot;t&quot;"/>
    <numFmt numFmtId="172" formatCode="#,##0 €"/>
    <numFmt numFmtId="173" formatCode="#,##0.0 &quot;tCO2e&quot;"/>
    <numFmt numFmtId="174" formatCode="#,##0 &quot;kWh&quot;"/>
    <numFmt numFmtId="175" formatCode="#,##0.0 &quot;MWh&quot;"/>
    <numFmt numFmtId="176" formatCode="#,##0.0 &quot;ans&quot;"/>
  </numFmts>
  <fonts count="47">
    <font>
      <name val="Carlito"/>
      <sz val="11"/>
    </font>
    <font>
      <name val="Carlito"/>
      <b val="1"/>
      <color theme="0"/>
      <sz val="15"/>
    </font>
    <font>
      <name val="Carlito"/>
      <b val="1"/>
      <color rgb="FF0B1220"/>
      <sz val="11"/>
    </font>
    <font>
      <name val="Carlito"/>
      <b val="1"/>
      <color theme="0"/>
      <sz val="11"/>
    </font>
    <font>
      <name val="Carlito"/>
      <b val="1"/>
      <sz val="11"/>
    </font>
    <font>
      <name val="Carlito"/>
      <b val="1"/>
      <color rgb="FFFFFFFF"/>
      <sz val="18"/>
    </font>
    <font>
      <name val="Calibri"/>
      <b val="1"/>
      <color rgb="00FFFFFF"/>
      <sz val="16"/>
    </font>
    <font>
      <name val="Calibri"/>
      <i val="1"/>
      <color rgb="00FFFFFF"/>
      <sz val="9.5"/>
    </font>
    <font>
      <name val="Calibri"/>
      <b val="1"/>
      <color rgb="00FFFFFF"/>
      <sz val="12"/>
    </font>
    <font>
      <name val="Calibri"/>
      <b val="1"/>
      <color rgb="00FFFFFF"/>
      <sz val="10"/>
    </font>
    <font>
      <name val="Calibri"/>
      <b val="1"/>
      <color rgb="005B6770"/>
      <sz val="10"/>
    </font>
    <font>
      <name val="Calibri"/>
      <color rgb="001C2B2B"/>
      <sz val="10"/>
    </font>
    <font>
      <name val="Calibri"/>
      <b val="1"/>
      <color rgb="000000CC"/>
      <sz val="10"/>
    </font>
    <font>
      <name val="Calibri"/>
      <color rgb="005B6770"/>
      <sz val="9"/>
    </font>
    <font>
      <name val="Calibri"/>
      <color rgb="001C2B2B"/>
      <sz val="9"/>
    </font>
    <font>
      <name val="Calibri"/>
      <color rgb="000563C1"/>
      <sz val="8"/>
    </font>
    <font>
      <name val="Calibri"/>
      <i val="1"/>
      <color rgb="005B6770"/>
      <sz val="9"/>
    </font>
    <font>
      <name val="Calibri"/>
      <b val="1"/>
      <color rgb="00FFFFFF"/>
      <sz val="9.5"/>
    </font>
    <font>
      <name val="Calibri"/>
      <b val="1"/>
      <color rgb="002E7D32"/>
      <sz val="9"/>
    </font>
    <font>
      <name val="Calibri"/>
      <color rgb="00006100"/>
      <sz val="9"/>
    </font>
    <font>
      <name val="Calibri"/>
      <color rgb="005B6770"/>
      <sz val="8"/>
    </font>
    <font>
      <name val="Calibri"/>
      <i val="1"/>
      <color rgb="005B6770"/>
      <sz val="8"/>
    </font>
    <font>
      <name val="Calibri"/>
      <b val="1"/>
      <color rgb="000000CC"/>
      <sz val="9"/>
    </font>
    <font>
      <name val="Calibri"/>
      <b val="1"/>
      <color rgb="005B6770"/>
      <sz val="9"/>
    </font>
    <font>
      <name val="Calibri"/>
      <b val="1"/>
      <color rgb="001565C0"/>
      <sz val="9"/>
    </font>
    <font>
      <name val="Calibri"/>
      <b val="1"/>
      <color rgb="006A4FB3"/>
      <sz val="9"/>
    </font>
    <font>
      <name val="Calibri"/>
      <b val="1"/>
      <color rgb="001C2B2B"/>
      <sz val="10"/>
    </font>
    <font>
      <name val="Calibri"/>
      <b val="1"/>
      <color rgb="001B7A52"/>
      <sz val="10"/>
    </font>
    <font>
      <name val="Calibri"/>
      <b val="1"/>
      <color rgb="000F2A22"/>
      <sz val="10"/>
    </font>
    <font>
      <name val="Calibri"/>
      <b val="1"/>
      <color rgb="00FFFFFF"/>
      <sz val="9"/>
    </font>
    <font>
      <name val="Calibri"/>
      <color rgb="000B6E3B"/>
      <sz val="9"/>
    </font>
    <font>
      <name val="Calibri"/>
      <color rgb="001C2B2B"/>
      <sz val="10.5"/>
    </font>
    <font>
      <name val="Calibri"/>
      <b val="1"/>
      <color rgb="000000CC"/>
      <sz val="11"/>
    </font>
    <font>
      <name val="Calibri"/>
      <i val="1"/>
      <color rgb="005B6770"/>
      <sz val="8.5"/>
    </font>
    <font>
      <name val="Calibri"/>
      <b val="1"/>
      <color rgb="002E7D32"/>
      <sz val="20"/>
    </font>
    <font>
      <name val="Calibri"/>
      <b val="1"/>
      <color rgb="001565C0"/>
      <sz val="20"/>
    </font>
    <font>
      <name val="Calibri"/>
      <b val="1"/>
      <color rgb="006A4FB3"/>
      <sz val="20"/>
    </font>
    <font>
      <name val="Calibri"/>
      <b val="1"/>
      <color rgb="002E7D32"/>
      <sz val="10"/>
    </font>
    <font>
      <name val="Calibri"/>
      <color rgb="005B6770"/>
      <sz val="8.5"/>
    </font>
    <font>
      <name val="Calibri"/>
      <b val="1"/>
      <color rgb="001565C0"/>
      <sz val="10"/>
    </font>
    <font>
      <name val="Calibri"/>
      <b val="1"/>
      <color rgb="006A4FB3"/>
      <sz val="10"/>
    </font>
    <font>
      <name val="Calibri"/>
      <b val="1"/>
      <color rgb="00FFFFFF"/>
      <sz val="10.5"/>
    </font>
    <font>
      <name val="Calibri"/>
      <b val="1"/>
      <color rgb="001C2B2B"/>
      <sz val="9.5"/>
    </font>
    <font>
      <name val="Calibri"/>
      <color rgb="001C2B2B"/>
      <sz val="9.5"/>
    </font>
    <font>
      <name val="Calibri"/>
      <b val="1"/>
      <color rgb="001C2B2B"/>
      <sz val="10.5"/>
    </font>
    <font>
      <name val="Calibri"/>
      <b val="1"/>
      <color rgb="000000CC"/>
      <sz val="10.5"/>
    </font>
    <font>
      <name val="Calibri"/>
      <b val="1"/>
      <color rgb="000F2A22"/>
      <sz val="10.5"/>
    </font>
  </fonts>
  <fills count="25">
    <fill>
      <patternFill/>
    </fill>
    <fill>
      <patternFill patternType="gray125"/>
    </fill>
    <fill>
      <patternFill patternType="solid">
        <fgColor theme="4"/>
      </patternFill>
    </fill>
    <fill>
      <patternFill patternType="solid">
        <fgColor rgb="FFD9EAD3"/>
      </patternFill>
    </fill>
    <fill>
      <patternFill patternType="solid">
        <fgColor rgb="FFFFF2CC"/>
      </patternFill>
    </fill>
    <fill>
      <patternFill patternType="solid">
        <fgColor theme="5"/>
      </patternFill>
    </fill>
    <fill>
      <patternFill patternType="solid">
        <fgColor rgb="FFE0F2FE"/>
      </patternFill>
    </fill>
    <fill>
      <patternFill patternType="solid">
        <fgColor rgb="FFFEF3C7"/>
      </patternFill>
    </fill>
    <fill>
      <patternFill patternType="solid">
        <fgColor rgb="FF006141"/>
        <bgColor indexed="64"/>
      </patternFill>
    </fill>
    <fill>
      <patternFill patternType="solid">
        <fgColor rgb="FFDDEBF7"/>
        <bgColor indexed="64"/>
      </patternFill>
    </fill>
    <fill>
      <patternFill patternType="solid">
        <fgColor rgb="000F2A22"/>
      </patternFill>
    </fill>
    <fill>
      <patternFill patternType="solid">
        <fgColor rgb="002E7D32"/>
      </patternFill>
    </fill>
    <fill>
      <patternFill patternType="solid">
        <fgColor rgb="0012463A"/>
      </patternFill>
    </fill>
    <fill>
      <patternFill patternType="solid">
        <fgColor rgb="00FFF6CC"/>
      </patternFill>
    </fill>
    <fill>
      <patternFill patternType="solid">
        <fgColor rgb="006A4FB3"/>
      </patternFill>
    </fill>
    <fill>
      <patternFill patternType="solid">
        <fgColor rgb="00E7F4EC"/>
      </patternFill>
    </fill>
    <fill>
      <patternFill patternType="solid">
        <fgColor rgb="00F4FBF6"/>
      </patternFill>
    </fill>
    <fill>
      <patternFill patternType="solid">
        <fgColor rgb="00F2F4F5"/>
      </patternFill>
    </fill>
    <fill>
      <patternFill patternType="solid">
        <fgColor rgb="00E5EEF8"/>
      </patternFill>
    </fill>
    <fill>
      <patternFill patternType="solid">
        <fgColor rgb="00EEE9F7"/>
      </patternFill>
    </fill>
    <fill>
      <patternFill patternType="solid">
        <fgColor rgb="001565C0"/>
      </patternFill>
    </fill>
    <fill>
      <patternFill patternType="solid">
        <fgColor rgb="00F2F7F4"/>
      </patternFill>
    </fill>
    <fill>
      <patternFill patternType="solid">
        <fgColor rgb="005B6770"/>
      </patternFill>
    </fill>
    <fill>
      <patternFill patternType="solid">
        <fgColor rgb="001B7A52"/>
      </patternFill>
    </fill>
    <fill>
      <patternFill patternType="solid">
        <fgColor rgb="00F7FAF8"/>
      </patternFill>
    </fill>
  </fills>
  <borders count="2">
    <border>
      <left/>
      <right/>
      <top/>
      <bottom/>
      <diagonal/>
    </border>
    <border>
      <left style="thin">
        <color rgb="00D7DEE2"/>
      </left>
      <right style="thin">
        <color rgb="00D7DEE2"/>
      </right>
      <top style="thin">
        <color rgb="00D7DEE2"/>
      </top>
      <bottom style="thin">
        <color rgb="00D7DEE2"/>
      </bottom>
    </border>
  </borders>
  <cellStyleXfs count="1">
    <xf numFmtId="0" fontId="0" fillId="0" borderId="0"/>
  </cellStyleXfs>
  <cellXfs count="146">
    <xf numFmtId="0" fontId="0" fillId="0" borderId="0" pivotButton="0" quotePrefix="0" xfId="0"/>
    <xf numFmtId="0" fontId="0" fillId="0" borderId="0" applyAlignment="1" pivotButton="0" quotePrefix="0" xfId="0">
      <alignment wrapText="1"/>
    </xf>
    <xf numFmtId="0" fontId="2" fillId="3" borderId="0" applyAlignment="1" pivotButton="0" quotePrefix="0" xfId="0">
      <alignment horizontal="center" vertical="center" wrapText="1"/>
    </xf>
    <xf numFmtId="0" fontId="0" fillId="4" borderId="0" pivotButton="0" quotePrefix="0" xfId="0"/>
    <xf numFmtId="0" fontId="4" fillId="6" borderId="0" pivotButton="0" quotePrefix="0" xfId="0"/>
    <xf numFmtId="4" fontId="0" fillId="0" borderId="0" pivotButton="0" quotePrefix="0" xfId="0"/>
    <xf numFmtId="4" fontId="2" fillId="3" borderId="0" applyAlignment="1" pivotButton="0" quotePrefix="0" xfId="0">
      <alignment horizontal="center" vertical="center" wrapText="1"/>
    </xf>
    <xf numFmtId="4" fontId="0" fillId="4" borderId="0" pivotButton="0" quotePrefix="0" xfId="0"/>
    <xf numFmtId="164" fontId="0" fillId="0" borderId="0" pivotButton="0" quotePrefix="0" xfId="0"/>
    <xf numFmtId="0" fontId="1" fillId="2" borderId="0" applyAlignment="1" pivotButton="0" quotePrefix="0" xfId="0">
      <alignment horizontal="center" vertical="center"/>
    </xf>
    <xf numFmtId="0" fontId="0" fillId="0" borderId="0" applyAlignment="1" pivotButton="0" quotePrefix="0" xfId="0">
      <alignment wrapText="1"/>
    </xf>
    <xf numFmtId="0" fontId="3" fillId="5" borderId="0" applyAlignment="1" pivotButton="0" quotePrefix="0" xfId="0">
      <alignment horizontal="center" wrapText="1"/>
    </xf>
    <xf numFmtId="0" fontId="4" fillId="6" borderId="0" pivotButton="0" quotePrefix="0" xfId="0"/>
    <xf numFmtId="0" fontId="0" fillId="7" borderId="0" applyAlignment="1" pivotButton="0" quotePrefix="0" xfId="0">
      <alignment wrapText="1"/>
    </xf>
    <xf numFmtId="49" fontId="0" fillId="0" borderId="0" pivotButton="0" quotePrefix="0" xfId="0"/>
    <xf numFmtId="165" fontId="0" fillId="0" borderId="0" pivotButton="0" quotePrefix="0" xfId="0"/>
    <xf numFmtId="22" fontId="0" fillId="0" borderId="0" pivotButton="0" quotePrefix="0" xfId="0"/>
    <xf numFmtId="0" fontId="5" fillId="8" borderId="0" applyAlignment="1" pivotButton="0" quotePrefix="0" xfId="0">
      <alignment horizontal="center"/>
    </xf>
    <xf numFmtId="0" fontId="0" fillId="0" borderId="0" applyAlignment="1" pivotButton="0" quotePrefix="0" xfId="0">
      <alignment horizontal="center"/>
    </xf>
    <xf numFmtId="0" fontId="4" fillId="9" borderId="0" pivotButton="0" quotePrefix="0" xfId="0"/>
    <xf numFmtId="0" fontId="6" fillId="10" borderId="0" applyAlignment="1" pivotButton="0" quotePrefix="0" xfId="0">
      <alignment horizontal="left" vertical="center"/>
    </xf>
    <xf numFmtId="0" fontId="7" fillId="10" borderId="0" applyAlignment="1" pivotButton="0" quotePrefix="0" xfId="0">
      <alignment horizontal="left" vertical="center"/>
    </xf>
    <xf numFmtId="0" fontId="8" fillId="23" borderId="0" applyAlignment="1" pivotButton="0" quotePrefix="0" xfId="0">
      <alignment horizontal="left" vertical="center"/>
    </xf>
    <xf numFmtId="0" fontId="44" fillId="0" borderId="0" applyAlignment="1" pivotButton="0" quotePrefix="0" xfId="0">
      <alignment horizontal="left" vertical="center"/>
    </xf>
    <xf numFmtId="0" fontId="45" fillId="13" borderId="1" applyAlignment="1" pivotButton="0" quotePrefix="0" xfId="0">
      <alignment horizontal="left" vertical="center"/>
    </xf>
    <xf numFmtId="0" fontId="33" fillId="0" borderId="0" applyAlignment="1" pivotButton="0" quotePrefix="0" xfId="0">
      <alignment horizontal="left" vertical="center" wrapText="1"/>
    </xf>
    <xf numFmtId="0" fontId="16" fillId="0" borderId="0" applyAlignment="1" pivotButton="0" quotePrefix="0" xfId="0">
      <alignment horizontal="left" vertical="center" wrapText="1"/>
    </xf>
    <xf numFmtId="0" fontId="11" fillId="0" borderId="0" applyAlignment="1" pivotButton="0" quotePrefix="0" xfId="0">
      <alignment horizontal="left" vertical="center"/>
    </xf>
    <xf numFmtId="0" fontId="46" fillId="21" borderId="1" applyAlignment="1" pivotButton="0" quotePrefix="0" xfId="0">
      <alignment horizontal="left" vertical="top" wrapText="1"/>
    </xf>
    <xf numFmtId="0" fontId="8" fillId="11" borderId="0" applyAlignment="1" pivotButton="0" quotePrefix="0" xfId="0">
      <alignment horizontal="left" vertical="center"/>
    </xf>
    <xf numFmtId="0" fontId="31" fillId="0" borderId="0" applyAlignment="1" pivotButton="0" quotePrefix="0" xfId="0">
      <alignment horizontal="left" vertical="center" wrapText="1"/>
    </xf>
    <xf numFmtId="168" fontId="32" fillId="13" borderId="1" applyAlignment="1" pivotButton="0" quotePrefix="0" xfId="0">
      <alignment horizontal="center" vertical="center"/>
    </xf>
    <xf numFmtId="169" fontId="32" fillId="13" borderId="1" applyAlignment="1" pivotButton="0" quotePrefix="0" xfId="0">
      <alignment horizontal="center" vertical="center"/>
    </xf>
    <xf numFmtId="170" fontId="32" fillId="13" borderId="1" applyAlignment="1" pivotButton="0" quotePrefix="0" xfId="0">
      <alignment horizontal="center" vertical="center"/>
    </xf>
    <xf numFmtId="0" fontId="32" fillId="13" borderId="1" applyAlignment="1" pivotButton="0" quotePrefix="0" xfId="0">
      <alignment horizontal="center" vertical="center"/>
    </xf>
    <xf numFmtId="3" fontId="32" fillId="13" borderId="1" applyAlignment="1" pivotButton="0" quotePrefix="0" xfId="0">
      <alignment horizontal="center" vertical="center"/>
    </xf>
    <xf numFmtId="171" fontId="32" fillId="13" borderId="1" applyAlignment="1" pivotButton="0" quotePrefix="0" xfId="0">
      <alignment horizontal="center" vertical="center"/>
    </xf>
    <xf numFmtId="0" fontId="8" fillId="20" borderId="0" applyAlignment="1" pivotButton="0" quotePrefix="0" xfId="0">
      <alignment horizontal="left" vertical="center"/>
    </xf>
    <xf numFmtId="167" fontId="32" fillId="13" borderId="1" applyAlignment="1" pivotButton="0" quotePrefix="0" xfId="0">
      <alignment horizontal="center" vertical="center"/>
    </xf>
    <xf numFmtId="0" fontId="8" fillId="14" borderId="0" applyAlignment="1" pivotButton="0" quotePrefix="0" xfId="0">
      <alignment horizontal="left" vertical="center"/>
    </xf>
    <xf numFmtId="172" fontId="32" fillId="13" borderId="1" applyAlignment="1" pivotButton="0" quotePrefix="0" xfId="0">
      <alignment horizontal="center" vertical="center"/>
    </xf>
    <xf numFmtId="0" fontId="8" fillId="10" borderId="0" applyAlignment="1" pivotButton="0" quotePrefix="0" xfId="0">
      <alignment horizontal="left" vertical="center"/>
    </xf>
    <xf numFmtId="0" fontId="17" fillId="11" borderId="1" applyAlignment="1" pivotButton="0" quotePrefix="0" xfId="0">
      <alignment horizontal="center" vertical="center" wrapText="1"/>
    </xf>
    <xf numFmtId="0" fontId="0" fillId="0" borderId="1" pivotButton="0" quotePrefix="0" xfId="0"/>
    <xf numFmtId="168" fontId="34" fillId="15" borderId="1" applyAlignment="1" pivotButton="0" quotePrefix="0" xfId="0">
      <alignment horizontal="center" vertical="center"/>
    </xf>
    <xf numFmtId="3" fontId="34" fillId="15" borderId="1" applyAlignment="1" pivotButton="0" quotePrefix="0" xfId="0">
      <alignment horizontal="center" vertical="center"/>
    </xf>
    <xf numFmtId="0" fontId="33" fillId="15" borderId="1" applyAlignment="1" pivotButton="0" quotePrefix="0" xfId="0">
      <alignment horizontal="center" vertical="center"/>
    </xf>
    <xf numFmtId="0" fontId="17" fillId="20" borderId="1" applyAlignment="1" pivotButton="0" quotePrefix="0" xfId="0">
      <alignment horizontal="center" vertical="center" wrapText="1"/>
    </xf>
    <xf numFmtId="0" fontId="17" fillId="14" borderId="1" applyAlignment="1" pivotButton="0" quotePrefix="0" xfId="0">
      <alignment horizontal="center" vertical="center" wrapText="1"/>
    </xf>
    <xf numFmtId="168" fontId="35" fillId="18" borderId="1" applyAlignment="1" pivotButton="0" quotePrefix="0" xfId="0">
      <alignment horizontal="center" vertical="center"/>
    </xf>
    <xf numFmtId="169" fontId="35" fillId="18" borderId="1" applyAlignment="1" pivotButton="0" quotePrefix="0" xfId="0">
      <alignment horizontal="center" vertical="center"/>
    </xf>
    <xf numFmtId="172" fontId="36" fillId="19" borderId="1" applyAlignment="1" pivotButton="0" quotePrefix="0" xfId="0">
      <alignment horizontal="center" vertical="center"/>
    </xf>
    <xf numFmtId="0" fontId="33" fillId="18" borderId="1" applyAlignment="1" pivotButton="0" quotePrefix="0" xfId="0">
      <alignment horizontal="center" vertical="center"/>
    </xf>
    <xf numFmtId="0" fontId="33" fillId="19" borderId="1" applyAlignment="1" pivotButton="0" quotePrefix="0" xfId="0">
      <alignment horizontal="center" vertical="center"/>
    </xf>
    <xf numFmtId="0" fontId="29" fillId="11" borderId="1" applyAlignment="1" pivotButton="0" quotePrefix="0" xfId="0">
      <alignment horizontal="left" vertical="center"/>
    </xf>
    <xf numFmtId="0" fontId="29" fillId="11" borderId="1" applyAlignment="1" pivotButton="0" quotePrefix="0" xfId="0">
      <alignment horizontal="center" vertical="center"/>
    </xf>
    <xf numFmtId="0" fontId="11" fillId="15" borderId="1" applyAlignment="1" pivotButton="0" quotePrefix="0" xfId="0">
      <alignment horizontal="left" vertical="center"/>
    </xf>
    <xf numFmtId="168" fontId="37" fillId="0" borderId="1" applyAlignment="1" pivotButton="0" quotePrefix="0" xfId="0">
      <alignment horizontal="center" vertical="center"/>
    </xf>
    <xf numFmtId="0" fontId="38" fillId="0" borderId="1" applyAlignment="1" pivotButton="0" quotePrefix="0" xfId="0">
      <alignment horizontal="center" vertical="center"/>
    </xf>
    <xf numFmtId="4" fontId="37" fillId="0" borderId="1" applyAlignment="1" pivotButton="0" quotePrefix="0" xfId="0">
      <alignment horizontal="center" vertical="center"/>
    </xf>
    <xf numFmtId="169" fontId="37" fillId="0" borderId="1" applyAlignment="1" pivotButton="0" quotePrefix="0" xfId="0">
      <alignment horizontal="center" vertical="center"/>
    </xf>
    <xf numFmtId="3" fontId="37" fillId="0" borderId="1" applyAlignment="1" pivotButton="0" quotePrefix="0" xfId="0">
      <alignment horizontal="center" vertical="center"/>
    </xf>
    <xf numFmtId="0" fontId="29" fillId="20" borderId="1" applyAlignment="1" pivotButton="0" quotePrefix="0" xfId="0">
      <alignment horizontal="left" vertical="center"/>
    </xf>
    <xf numFmtId="0" fontId="29" fillId="20" borderId="1" applyAlignment="1" pivotButton="0" quotePrefix="0" xfId="0">
      <alignment horizontal="center" vertical="center"/>
    </xf>
    <xf numFmtId="0" fontId="11" fillId="18" borderId="1" applyAlignment="1" pivotButton="0" quotePrefix="0" xfId="0">
      <alignment horizontal="left" vertical="center"/>
    </xf>
    <xf numFmtId="168" fontId="39" fillId="0" borderId="1" applyAlignment="1" pivotButton="0" quotePrefix="0" xfId="0">
      <alignment horizontal="center" vertical="center"/>
    </xf>
    <xf numFmtId="169" fontId="39" fillId="0" borderId="1" applyAlignment="1" pivotButton="0" quotePrefix="0" xfId="0">
      <alignment horizontal="center" vertical="center"/>
    </xf>
    <xf numFmtId="169" fontId="12" fillId="0" borderId="1" applyAlignment="1" pivotButton="0" quotePrefix="0" xfId="0">
      <alignment horizontal="center" vertical="center"/>
    </xf>
    <xf numFmtId="169" fontId="11" fillId="0" borderId="1" applyAlignment="1" pivotButton="0" quotePrefix="0" xfId="0">
      <alignment horizontal="center" vertical="center"/>
    </xf>
    <xf numFmtId="172" fontId="39" fillId="0" borderId="1" applyAlignment="1" pivotButton="0" quotePrefix="0" xfId="0">
      <alignment horizontal="center" vertical="center"/>
    </xf>
    <xf numFmtId="168" fontId="12" fillId="0" borderId="1" applyAlignment="1" pivotButton="0" quotePrefix="0" xfId="0">
      <alignment horizontal="center" vertical="center"/>
    </xf>
    <xf numFmtId="168" fontId="11" fillId="0" borderId="1" applyAlignment="1" pivotButton="0" quotePrefix="0" xfId="0">
      <alignment horizontal="center" vertical="center"/>
    </xf>
    <xf numFmtId="3" fontId="39" fillId="0" borderId="1" applyAlignment="1" pivotButton="0" quotePrefix="0" xfId="0">
      <alignment horizontal="center" vertical="center"/>
    </xf>
    <xf numFmtId="0" fontId="29" fillId="14" borderId="1" applyAlignment="1" pivotButton="0" quotePrefix="0" xfId="0">
      <alignment horizontal="left" vertical="center"/>
    </xf>
    <xf numFmtId="0" fontId="29" fillId="14" borderId="1" applyAlignment="1" pivotButton="0" quotePrefix="0" xfId="0">
      <alignment horizontal="center" vertical="center"/>
    </xf>
    <xf numFmtId="0" fontId="11" fillId="19" borderId="1" applyAlignment="1" pivotButton="0" quotePrefix="0" xfId="0">
      <alignment horizontal="left" vertical="center"/>
    </xf>
    <xf numFmtId="172" fontId="40" fillId="0" borderId="1" applyAlignment="1" pivotButton="0" quotePrefix="0" xfId="0">
      <alignment horizontal="center" vertical="center"/>
    </xf>
    <xf numFmtId="169" fontId="40" fillId="0" borderId="1" applyAlignment="1" pivotButton="0" quotePrefix="0" xfId="0">
      <alignment horizontal="center" vertical="center"/>
    </xf>
    <xf numFmtId="3" fontId="40" fillId="0" borderId="1" applyAlignment="1" pivotButton="0" quotePrefix="0" xfId="0">
      <alignment horizontal="center" vertical="center"/>
    </xf>
    <xf numFmtId="0" fontId="33" fillId="0" borderId="0" applyAlignment="1" pivotButton="0" quotePrefix="0" xfId="0">
      <alignment horizontal="left" vertical="top" wrapText="1"/>
    </xf>
    <xf numFmtId="0" fontId="29" fillId="12" borderId="1" applyAlignment="1" pivotButton="0" quotePrefix="0" xfId="0">
      <alignment horizontal="center" vertical="center" wrapText="1"/>
    </xf>
    <xf numFmtId="0" fontId="29" fillId="12" borderId="1" applyAlignment="1" pivotButton="0" quotePrefix="0" xfId="0">
      <alignment horizontal="center" vertical="center"/>
    </xf>
    <xf numFmtId="0" fontId="29" fillId="22" borderId="1" applyAlignment="1" pivotButton="0" quotePrefix="0" xfId="0">
      <alignment horizontal="center" vertical="center" wrapText="1"/>
    </xf>
    <xf numFmtId="0" fontId="29" fillId="14" borderId="1" applyAlignment="1" pivotButton="0" quotePrefix="0" xfId="0">
      <alignment horizontal="center" vertical="center" wrapText="1"/>
    </xf>
    <xf numFmtId="0" fontId="29" fillId="11" borderId="1" applyAlignment="1" pivotButton="0" quotePrefix="0" xfId="0">
      <alignment horizontal="center" vertical="center" wrapText="1"/>
    </xf>
    <xf numFmtId="0" fontId="0" fillId="0" borderId="1" applyAlignment="1" pivotButton="0" quotePrefix="0" xfId="0">
      <alignment horizontal="center" vertical="center"/>
    </xf>
    <xf numFmtId="0" fontId="0" fillId="0" borderId="1" applyAlignment="1" pivotButton="0" quotePrefix="0" xfId="0">
      <alignment horizontal="left" vertical="center"/>
    </xf>
    <xf numFmtId="0" fontId="14" fillId="0" borderId="1" applyAlignment="1" pivotButton="0" quotePrefix="0" xfId="0">
      <alignment horizontal="center" vertical="center"/>
    </xf>
    <xf numFmtId="167" fontId="0" fillId="0" borderId="1" applyAlignment="1" pivotButton="0" quotePrefix="0" xfId="0">
      <alignment horizontal="center" vertical="center"/>
    </xf>
    <xf numFmtId="167" fontId="14" fillId="0" borderId="1" applyAlignment="1" pivotButton="0" quotePrefix="0" xfId="0">
      <alignment horizontal="center" vertical="center"/>
    </xf>
    <xf numFmtId="0" fontId="14" fillId="0" borderId="1" applyAlignment="1" pivotButton="0" quotePrefix="0" xfId="0">
      <alignment horizontal="left" vertical="center"/>
    </xf>
    <xf numFmtId="166" fontId="14" fillId="0" borderId="1" applyAlignment="1" pivotButton="0" quotePrefix="0" xfId="0">
      <alignment horizontal="center" vertical="center"/>
    </xf>
    <xf numFmtId="164" fontId="14" fillId="0" borderId="1" applyAlignment="1" pivotButton="0" quotePrefix="0" xfId="0">
      <alignment horizontal="center" vertical="center"/>
    </xf>
    <xf numFmtId="168" fontId="30" fillId="0" borderId="1" applyAlignment="1" pivotButton="0" quotePrefix="0" xfId="0">
      <alignment horizontal="center" vertical="center"/>
    </xf>
    <xf numFmtId="164" fontId="30" fillId="0" borderId="1" applyAlignment="1" pivotButton="0" quotePrefix="0" xfId="0">
      <alignment horizontal="center" vertical="center"/>
    </xf>
    <xf numFmtId="3" fontId="28" fillId="21" borderId="1" applyAlignment="1" pivotButton="0" quotePrefix="0" xfId="0">
      <alignment horizontal="center" vertical="center"/>
    </xf>
    <xf numFmtId="172" fontId="28" fillId="21" borderId="1" applyAlignment="1" pivotButton="0" quotePrefix="0" xfId="0">
      <alignment horizontal="center" vertical="center"/>
    </xf>
    <xf numFmtId="167" fontId="28" fillId="21" borderId="1" applyAlignment="1" pivotButton="0" quotePrefix="0" xfId="0">
      <alignment horizontal="center" vertical="center"/>
    </xf>
    <xf numFmtId="172" fontId="27" fillId="21" borderId="1" applyAlignment="1" pivotButton="0" quotePrefix="0" xfId="0">
      <alignment horizontal="center" vertical="center"/>
    </xf>
    <xf numFmtId="173" fontId="27" fillId="21" borderId="1" applyAlignment="1" pivotButton="0" quotePrefix="0" xfId="0">
      <alignment horizontal="center" vertical="center"/>
    </xf>
    <xf numFmtId="174" fontId="27" fillId="21" borderId="1" applyAlignment="1" pivotButton="0" quotePrefix="0" xfId="0">
      <alignment horizontal="center" vertical="center"/>
    </xf>
    <xf numFmtId="170" fontId="27" fillId="21" borderId="1" applyAlignment="1" pivotButton="0" quotePrefix="0" xfId="0">
      <alignment horizontal="center" vertical="center"/>
    </xf>
    <xf numFmtId="171" fontId="27" fillId="21" borderId="1" applyAlignment="1" pivotButton="0" quotePrefix="0" xfId="0">
      <alignment horizontal="center" vertical="center"/>
    </xf>
    <xf numFmtId="175" fontId="27" fillId="21" borderId="1" applyAlignment="1" pivotButton="0" quotePrefix="0" xfId="0">
      <alignment horizontal="center" vertical="center"/>
    </xf>
    <xf numFmtId="168" fontId="27" fillId="21" borderId="1" applyAlignment="1" pivotButton="0" quotePrefix="0" xfId="0">
      <alignment horizontal="center" vertical="center"/>
    </xf>
    <xf numFmtId="169" fontId="27" fillId="21" borderId="1" applyAlignment="1" pivotButton="0" quotePrefix="0" xfId="0">
      <alignment horizontal="center" vertical="center"/>
    </xf>
    <xf numFmtId="176" fontId="27" fillId="21" borderId="1" applyAlignment="1" pivotButton="0" quotePrefix="0" xfId="0">
      <alignment horizontal="center" vertical="center"/>
    </xf>
    <xf numFmtId="0" fontId="11" fillId="0" borderId="1" applyAlignment="1" pivotButton="0" quotePrefix="0" xfId="0">
      <alignment horizontal="left" vertical="center"/>
    </xf>
    <xf numFmtId="173" fontId="11" fillId="0" borderId="1" applyAlignment="1" pivotButton="0" quotePrefix="0" xfId="0">
      <alignment horizontal="center" vertical="center"/>
    </xf>
    <xf numFmtId="0" fontId="9" fillId="12" borderId="1" applyAlignment="1" pivotButton="0" quotePrefix="0" xfId="0">
      <alignment horizontal="center" vertical="center"/>
    </xf>
    <xf numFmtId="0" fontId="10" fillId="0" borderId="1" applyAlignment="1" pivotButton="0" quotePrefix="0" xfId="0">
      <alignment horizontal="left" vertical="center"/>
    </xf>
    <xf numFmtId="4" fontId="12" fillId="13" borderId="1" applyAlignment="1" pivotButton="0" quotePrefix="0" xfId="0">
      <alignment horizontal="center" vertical="center"/>
    </xf>
    <xf numFmtId="0" fontId="13" fillId="0" borderId="1" applyAlignment="1" pivotButton="0" quotePrefix="0" xfId="0">
      <alignment horizontal="center" vertical="center"/>
    </xf>
    <xf numFmtId="0" fontId="13" fillId="0" borderId="1" applyAlignment="1" pivotButton="0" quotePrefix="0" xfId="0">
      <alignment horizontal="left" vertical="center" wrapText="1"/>
    </xf>
    <xf numFmtId="0" fontId="15" fillId="0" borderId="1" applyAlignment="1" pivotButton="0" quotePrefix="0" xfId="0">
      <alignment horizontal="left" vertical="center"/>
    </xf>
    <xf numFmtId="166" fontId="12" fillId="13" borderId="1" applyAlignment="1" pivotButton="0" quotePrefix="0" xfId="0">
      <alignment horizontal="center" vertical="center"/>
    </xf>
    <xf numFmtId="0" fontId="14" fillId="15" borderId="1" applyAlignment="1" pivotButton="0" quotePrefix="0" xfId="0">
      <alignment horizontal="center" vertical="center"/>
    </xf>
    <xf numFmtId="0" fontId="18" fillId="0" borderId="1" applyAlignment="1" pivotButton="0" quotePrefix="0" xfId="0">
      <alignment horizontal="center" vertical="center"/>
    </xf>
    <xf numFmtId="166" fontId="19" fillId="16" borderId="1" applyAlignment="1" pivotButton="0" quotePrefix="0" xfId="0">
      <alignment horizontal="center" vertical="center"/>
    </xf>
    <xf numFmtId="0" fontId="0" fillId="17" borderId="1" pivotButton="0" quotePrefix="0" xfId="0"/>
    <xf numFmtId="0" fontId="20" fillId="0" borderId="1" applyAlignment="1" pivotButton="0" quotePrefix="0" xfId="0">
      <alignment horizontal="left" vertical="center" wrapText="1"/>
    </xf>
    <xf numFmtId="0" fontId="21" fillId="0" borderId="1" applyAlignment="1" pivotButton="0" quotePrefix="0" xfId="0">
      <alignment horizontal="left" vertical="center" wrapText="1"/>
    </xf>
    <xf numFmtId="164" fontId="22" fillId="13" borderId="1" applyAlignment="1" pivotButton="0" quotePrefix="0" xfId="0">
      <alignment horizontal="center" vertical="center"/>
    </xf>
    <xf numFmtId="0" fontId="14" fillId="17" borderId="1" applyAlignment="1" pivotButton="0" quotePrefix="0" xfId="0">
      <alignment horizontal="center" vertical="center"/>
    </xf>
    <xf numFmtId="0" fontId="23" fillId="0" borderId="1" applyAlignment="1" pivotButton="0" quotePrefix="0" xfId="0">
      <alignment horizontal="center" vertical="center"/>
    </xf>
    <xf numFmtId="0" fontId="14" fillId="18" borderId="1" applyAlignment="1" pivotButton="0" quotePrefix="0" xfId="0">
      <alignment horizontal="center" vertical="center"/>
    </xf>
    <xf numFmtId="0" fontId="24" fillId="0" borderId="1" applyAlignment="1" pivotButton="0" quotePrefix="0" xfId="0">
      <alignment horizontal="center" vertical="center"/>
    </xf>
    <xf numFmtId="0" fontId="14" fillId="19" borderId="1" applyAlignment="1" pivotButton="0" quotePrefix="0" xfId="0">
      <alignment horizontal="center" vertical="center"/>
    </xf>
    <xf numFmtId="0" fontId="25" fillId="0" borderId="1" applyAlignment="1" pivotButton="0" quotePrefix="0" xfId="0">
      <alignment horizontal="center" vertical="center"/>
    </xf>
    <xf numFmtId="0" fontId="26" fillId="0" borderId="0" applyAlignment="1" pivotButton="0" quotePrefix="0" xfId="0">
      <alignment horizontal="left" vertical="top" wrapText="1"/>
    </xf>
    <xf numFmtId="0" fontId="11" fillId="0" borderId="0" applyAlignment="1" pivotButton="0" quotePrefix="0" xfId="0">
      <alignment horizontal="left" vertical="top" wrapText="1"/>
    </xf>
    <xf numFmtId="0" fontId="27" fillId="0" borderId="0" applyAlignment="1" pivotButton="0" quotePrefix="0" xfId="0">
      <alignment horizontal="left" vertical="top" wrapText="1"/>
    </xf>
    <xf numFmtId="0" fontId="26" fillId="0" borderId="0" applyAlignment="1" pivotButton="0" quotePrefix="0" xfId="0">
      <alignment horizontal="left" vertical="center"/>
    </xf>
    <xf numFmtId="0" fontId="22" fillId="13" borderId="1" applyAlignment="1" pivotButton="0" quotePrefix="0" xfId="0">
      <alignment horizontal="left" vertical="center"/>
    </xf>
    <xf numFmtId="0" fontId="28" fillId="21" borderId="1" applyAlignment="1" pivotButton="0" quotePrefix="0" xfId="0">
      <alignment horizontal="center" vertical="center"/>
    </xf>
    <xf numFmtId="0" fontId="8" fillId="23" borderId="0" applyAlignment="1" pivotButton="0" quotePrefix="0" xfId="0">
      <alignment horizontal="left" vertical="top" wrapText="1"/>
    </xf>
    <xf numFmtId="0" fontId="0" fillId="23" borderId="0" pivotButton="0" quotePrefix="0" xfId="0"/>
    <xf numFmtId="0" fontId="31" fillId="0" borderId="0" applyAlignment="1" pivotButton="0" quotePrefix="0" xfId="0">
      <alignment horizontal="left" vertical="top" wrapText="1"/>
    </xf>
    <xf numFmtId="0" fontId="17" fillId="12" borderId="1" applyAlignment="1" pivotButton="0" quotePrefix="0" xfId="0">
      <alignment horizontal="center" vertical="center" wrapText="1"/>
    </xf>
    <xf numFmtId="0" fontId="41" fillId="23" borderId="1" applyAlignment="1" pivotButton="0" quotePrefix="0" xfId="0">
      <alignment horizontal="left" vertical="center"/>
    </xf>
    <xf numFmtId="0" fontId="42" fillId="24" borderId="1" applyAlignment="1" pivotButton="0" quotePrefix="0" xfId="0">
      <alignment horizontal="left" vertical="top" wrapText="1"/>
    </xf>
    <xf numFmtId="0" fontId="43" fillId="0" borderId="1" applyAlignment="1" pivotButton="0" quotePrefix="0" xfId="0">
      <alignment horizontal="left" vertical="top" wrapText="1"/>
    </xf>
    <xf numFmtId="0" fontId="41" fillId="20" borderId="1" applyAlignment="1" pivotButton="0" quotePrefix="0" xfId="0">
      <alignment horizontal="left" vertical="center"/>
    </xf>
    <xf numFmtId="0" fontId="41" fillId="14" borderId="1" applyAlignment="1" pivotButton="0" quotePrefix="0" xfId="0">
      <alignment horizontal="left" vertical="center"/>
    </xf>
    <xf numFmtId="0" fontId="8" fillId="10" borderId="0" applyAlignment="1" pivotButton="0" quotePrefix="0" xfId="0">
      <alignment horizontal="left" vertical="top" wrapText="1"/>
    </xf>
    <xf numFmtId="0" fontId="0" fillId="10" borderId="0" pivotButton="0" quotePrefix="0" xfId="0"/>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Émissions par scope (tCO2e)</a:t>
            </a:r>
          </a:p>
        </rich>
      </tx>
    </title>
    <plotArea>
      <doughnutChart>
        <varyColors val="1"/>
        <ser>
          <idx val="0"/>
          <order val="0"/>
          <tx>
            <strRef>
              <f>'08_CONTROLES'!C55</f>
            </strRef>
          </tx>
          <spPr>
            <a:ln xmlns:a="http://schemas.openxmlformats.org/drawingml/2006/main">
              <a:prstDash val="solid"/>
            </a:ln>
          </spPr>
          <cat>
            <numRef>
              <f>'08_CONTROLES'!$A$56:$A$58</f>
            </numRef>
          </cat>
          <val>
            <numRef>
              <f>'08_CONTROLES'!$C$56:$C$58</f>
            </numRef>
          </val>
        </ser>
        <dLbls>
          <showPercent val="1"/>
        </dLbls>
        <firstSliceAng val="0"/>
        <holeSize val="10"/>
      </doughnutChart>
    </plotArea>
    <legend>
      <legendPos val="r"/>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Émissions par thème (tCO2e)</a:t>
            </a:r>
          </a:p>
        </rich>
      </tx>
    </title>
    <plotArea>
      <barChart>
        <barDir val="col"/>
        <grouping val="clustered"/>
        <ser>
          <idx val="0"/>
          <order val="0"/>
          <tx>
            <strRef>
              <f>'08_CONTROLES'!C60</f>
            </strRef>
          </tx>
          <spPr>
            <a:ln xmlns:a="http://schemas.openxmlformats.org/drawingml/2006/main">
              <a:prstDash val="solid"/>
            </a:ln>
          </spPr>
          <cat>
            <numRef>
              <f>'08_CONTROLES'!$A$61:$A$65</f>
            </numRef>
          </cat>
          <val>
            <numRef>
              <f>'08_CONTROLES'!$C$61:$C$65</f>
            </numRef>
          </val>
        </ser>
        <gapWidth val="150"/>
        <axId val="10"/>
        <axId val="100"/>
      </bar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oneCellAnchor>
    <from>
      <col>0</col>
      <colOff>0</colOff>
      <row>62</row>
      <rowOff>0</rowOff>
    </from>
    <ext cx="396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6</col>
      <colOff>0</colOff>
      <row>62</row>
      <rowOff>0</rowOff>
    </from>
    <ext cx="396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wsDr>
</file>

<file path=xl/theme/theme1.xml><?xml version="1.0" encoding="utf-8"?>
<a:theme xmlns:a="http://schemas.openxmlformats.org/drawingml/2006/main" name="ESG">
  <a:themeElements>
    <a:clrScheme name="ESG">
      <a:dk1>
        <a:srgbClr val="0B1220"/>
      </a:dk1>
      <a:lt1>
        <a:srgbClr val="FFFFFF"/>
      </a:lt1>
      <a:dk2>
        <a:srgbClr val="0E2841"/>
      </a:dk2>
      <a:lt2>
        <a:srgbClr val="F8FAFC"/>
      </a:lt2>
      <a:accent1>
        <a:srgbClr val="14532D"/>
      </a:accent1>
      <a:accent2>
        <a:srgbClr val="0F766E"/>
      </a:accent2>
      <a:accent3>
        <a:srgbClr val="2563EB"/>
      </a:accent3>
      <a:accent4>
        <a:srgbClr val="F97316"/>
      </a:accent4>
      <a:accent5>
        <a:srgbClr val="7C3AED"/>
      </a:accent5>
      <a:accent6>
        <a:srgbClr val="64748B"/>
      </a:accent6>
      <a:hlink>
        <a:srgbClr val="2563EB"/>
      </a:hlink>
      <a:folHlink>
        <a:srgbClr val="7C3AED"/>
      </a:folHlink>
    </a:clrScheme>
    <a:fontScheme name="Office">
      <a:majorFont>
        <a:latin typeface="Calibri"/>
        <a:ea typeface="Calibri"/>
        <a:cs typeface="Calibri"/>
      </a:majorFont>
      <a:minorFont>
        <a:latin typeface="Calibri"/>
        <a:ea typeface="Calibri"/>
        <a:cs typeface="Calibri"/>
      </a:minorFont>
    </a:fontScheme>
    <a:fmtScheme name="ESG">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tabColor rgb="000F2A22"/>
    <outlinePr summaryBelow="1" summaryRight="1"/>
    <pageSetUpPr fitToPage="1"/>
  </sheetPr>
  <dimension ref="A1:F27"/>
  <sheetViews>
    <sheetView showGridLines="0" tabSelected="1" workbookViewId="0">
      <selection activeCell="A1" sqref="A1"/>
    </sheetView>
  </sheetViews>
  <sheetFormatPr baseColWidth="8" defaultRowHeight="15"/>
  <cols>
    <col width="26" customWidth="1" min="1" max="1"/>
    <col width="26" customWidth="1" min="2" max="2"/>
    <col width="40" customWidth="1" min="3" max="3"/>
    <col width="4" customWidth="1" min="4" max="4"/>
    <col width="26" customWidth="1" min="5" max="5"/>
    <col width="40" customWidth="1" min="6" max="6"/>
  </cols>
  <sheetData>
    <row r="1" ht="30" customHeight="1">
      <c r="A1" s="20" t="inlineStr">
        <is>
          <t>01 · ACCUEIL  —  FEC + DSN → tableau de bord ESG</t>
        </is>
      </c>
    </row>
    <row r="2" ht="15" customHeight="1">
      <c r="A2" s="21" t="inlineStr">
        <is>
          <t>Tout passe par les boutons ci-dessous. Renseignez d'abord les paramètres d'import, puis cliquez dans l'ordre.</t>
        </is>
      </c>
    </row>
    <row r="4" ht="23" customHeight="1">
      <c r="A4" s="22" t="inlineStr">
        <is>
          <t>1 · Paramètres d'import</t>
        </is>
      </c>
    </row>
    <row r="6" ht="20" customHeight="1">
      <c r="A6" s="23" t="inlineStr">
        <is>
          <t>Dossier des fichiers</t>
        </is>
      </c>
      <c r="C6" s="24" t="inlineStr">
        <is>
          <t>C:\ESG\</t>
        </is>
      </c>
      <c r="E6" s="25" t="inlineStr">
        <is>
          <t>Chemin du dossier contenant le FEC et les DSN.</t>
        </is>
      </c>
    </row>
    <row r="7" ht="20" customHeight="1">
      <c r="A7" s="23" t="inlineStr">
        <is>
          <t>Nom du fichier FEC</t>
        </is>
      </c>
      <c r="C7" s="24" t="inlineStr">
        <is>
          <t>FEC.txt</t>
        </is>
      </c>
      <c r="E7" s="25" t="inlineStr">
        <is>
          <t>Nom exact, avec l'extension .txt.</t>
        </is>
      </c>
    </row>
    <row r="8" ht="20" customHeight="1">
      <c r="A8" s="23" t="inlineStr">
        <is>
          <t>Extension des DSN</t>
        </is>
      </c>
      <c r="C8" s="24" t="inlineStr">
        <is>
          <t>.dsn</t>
        </is>
      </c>
      <c r="E8" s="25" t="inlineStr">
        <is>
          <t>Les 12 DSN du dossier portant cette extension seront lues.</t>
        </is>
      </c>
    </row>
    <row r="10" ht="23" customHeight="1">
      <c r="A10" s="22" t="inlineStr">
        <is>
          <t>2 · Étapes (cliquer dans l'ordre)</t>
        </is>
      </c>
    </row>
    <row r="12" ht="22" customHeight="1">
      <c r="A12" s="26" t="inlineStr">
        <is>
          <t>&gt;&gt; Les boutons apparaissent ici après « Installer_Outil ».</t>
        </is>
      </c>
      <c r="C12" s="27" t="inlineStr">
        <is>
          <t>① Importer le FEC</t>
        </is>
      </c>
    </row>
    <row r="13"/>
    <row r="14" ht="22" customHeight="1">
      <c r="C14" s="27" t="inlineStr">
        <is>
          <t>② Importer les DSN</t>
        </is>
      </c>
    </row>
    <row r="15"/>
    <row r="16" ht="22" customHeight="1">
      <c r="C16" s="27" t="inlineStr">
        <is>
          <t>③ Générer la balance ESG + synthèse sociale</t>
        </is>
      </c>
    </row>
    <row r="17"/>
    <row r="18" ht="22" customHeight="1">
      <c r="C18" s="27" t="inlineStr">
        <is>
          <t>④ Actualiser le tableau de bord</t>
        </is>
      </c>
    </row>
    <row r="19"/>
    <row r="20" ht="22" customHeight="1">
      <c r="C20" s="27" t="inlineStr">
        <is>
          <t>⑤ Actualiser les tarifs (Internet, optionnel)</t>
        </is>
      </c>
    </row>
    <row r="21"/>
    <row r="22" ht="22" customHeight="1">
      <c r="C22" s="27" t="inlineStr">
        <is>
          <t>⑥ Réinitialiser l'outil</t>
        </is>
      </c>
    </row>
    <row r="23"/>
    <row r="25" ht="23" customHeight="1">
      <c r="A25" s="22" t="inlineStr">
        <is>
          <t>3 · Statut</t>
        </is>
      </c>
    </row>
    <row r="26">
      <c r="A26" s="28" t="inlineStr">
        <is>
          <t>Prêt. Renseignez les paramètres puis lancez l'import.</t>
        </is>
      </c>
    </row>
    <row r="27"/>
  </sheetData>
  <mergeCells count="10">
    <mergeCell ref="A2:F2"/>
    <mergeCell ref="C8"/>
    <mergeCell ref="A10:F10"/>
    <mergeCell ref="A1:F1"/>
    <mergeCell ref="C7"/>
    <mergeCell ref="A12:B23"/>
    <mergeCell ref="C6"/>
    <mergeCell ref="A4:F4"/>
    <mergeCell ref="A26:F27"/>
    <mergeCell ref="A25:F25"/>
  </mergeCells>
  <printOptions horizontalCentered="1"/>
  <pageMargins left="0.3" right="0.3" top="0.4" bottom="0.4" header="0.5" footer="0.5"/>
  <pageSetup orientation="landscape" fitToHeight="0" fitToWidth="1"/>
</worksheet>
</file>

<file path=xl/worksheets/sheet2.xml><?xml version="1.0" encoding="utf-8"?>
<worksheet xmlns="http://schemas.openxmlformats.org/spreadsheetml/2006/main">
  <sheetPr>
    <tabColor rgb="00E5B700"/>
    <outlinePr summaryBelow="1" summaryRight="1"/>
    <pageSetUpPr fitToPage="1"/>
  </sheetPr>
  <dimension ref="A1:F53"/>
  <sheetViews>
    <sheetView showGridLines="0" tabSelected="0" workbookViewId="0">
      <selection activeCell="A1" sqref="A1"/>
    </sheetView>
  </sheetViews>
  <sheetFormatPr baseColWidth="8" defaultRowHeight="15"/>
  <cols>
    <col width="4" customWidth="1" min="1" max="1"/>
    <col width="52" customWidth="1" min="2" max="2"/>
    <col width="2" customWidth="1" min="3" max="3"/>
    <col width="16" customWidth="1" min="4" max="4"/>
    <col width="2" customWidth="1" min="5" max="5"/>
    <col width="40" customWidth="1" min="6" max="6"/>
  </cols>
  <sheetData>
    <row r="1" ht="30" customHeight="1">
      <c r="A1" s="20" t="inlineStr">
        <is>
          <t>02 · DONNÉES À COMPLÉTER  —  saisie manuelle (cellules jaunes)</t>
        </is>
      </c>
    </row>
    <row r="2" ht="15" customHeight="1">
      <c r="A2" s="21" t="inlineStr">
        <is>
          <t>Renseignez ce que la comptabilité et les DSN ne contiennent pas. Listes déroulantes et champs chiffrés. Tout alimente directement le tableau de bord.</t>
        </is>
      </c>
    </row>
    <row r="4" ht="28" customHeight="1">
      <c r="B4" s="26" t="inlineStr">
        <is>
          <t>Astuce : laissez 0 quand vous ne savez pas. Les champs « déclaré » remplacent l'estimation du FEC dès qu'ils sont &gt; 0 (logique VSME : la donnée mesurée prime).</t>
        </is>
      </c>
    </row>
    <row r="6" ht="23" customHeight="1">
      <c r="A6" s="29" t="inlineStr">
        <is>
          <t>ENVIRONNEMENT · Énergie &amp; climat (ESRS E1)</t>
        </is>
      </c>
    </row>
    <row r="7" ht="20" customHeight="1">
      <c r="B7" s="30" t="inlineStr">
        <is>
          <t>Consommation totale d'énergie déclarée (MWh)</t>
        </is>
      </c>
      <c r="D7" s="31" t="n">
        <v>0</v>
      </c>
      <c r="F7" s="25" t="inlineStr">
        <is>
          <t>0 = on garde l'estimation issue du FEC. Sinon, votre valeur mesurée prime.</t>
        </is>
      </c>
    </row>
    <row r="8" ht="20" customHeight="1">
      <c r="B8" s="30" t="inlineStr">
        <is>
          <t>dont part de combustibles (vs électricité)</t>
        </is>
      </c>
      <c r="D8" s="32" t="n">
        <v>0</v>
      </c>
      <c r="F8" s="25" t="inlineStr">
        <is>
          <t>Ventilation VSME. Saisir en %.</t>
        </is>
      </c>
    </row>
    <row r="9" ht="20" customHeight="1">
      <c r="B9" s="30" t="inlineStr">
        <is>
          <t>Part d'électricité d'origine renouvelable</t>
        </is>
      </c>
      <c r="D9" s="32" t="n">
        <v>0</v>
      </c>
      <c r="F9" s="25" t="inlineStr">
        <is>
          <t>Saisir en % (ex. 30%). 0 si inconnu.</t>
        </is>
      </c>
    </row>
    <row r="10" ht="20" customHeight="1">
      <c r="B10" s="30" t="inlineStr">
        <is>
          <t>Émissions Scope 1 déclarées (tCO2e)</t>
        </is>
      </c>
      <c r="D10" s="31" t="n">
        <v>0</v>
      </c>
      <c r="F10" s="25" t="inlineStr">
        <is>
          <t>0 = on garde l'estimation FEC. Sinon votre bilan mesuré prime.</t>
        </is>
      </c>
    </row>
    <row r="11" ht="20" customHeight="1">
      <c r="B11" s="30" t="inlineStr">
        <is>
          <t>Émissions Scope 2 déclarées (tCO2e)</t>
        </is>
      </c>
      <c r="D11" s="31" t="n">
        <v>0</v>
      </c>
      <c r="F11" s="25" t="inlineStr">
        <is>
          <t>0 = on garde l'estimation FEC.</t>
        </is>
      </c>
    </row>
    <row r="13" ht="23" customHeight="1">
      <c r="A13" s="29" t="inlineStr">
        <is>
          <t>ENVIRONNEMENT · Eau, sols, pollution, déchets (ESRS E2-E5)</t>
        </is>
      </c>
    </row>
    <row r="14" ht="20" customHeight="1">
      <c r="B14" s="30" t="inlineStr">
        <is>
          <t>Consommation d'eau réelle (m³)</t>
        </is>
      </c>
      <c r="D14" s="33" t="n">
        <v>0</v>
      </c>
      <c r="F14" s="25" t="inlineStr">
        <is>
          <t>0 = estimation automatique à partir du FEC (compte 60613x).</t>
        </is>
      </c>
    </row>
    <row r="15" ht="20" customHeight="1">
      <c r="B15" s="30" t="inlineStr">
        <is>
          <t>Prélèvements d'eau (m³)</t>
        </is>
      </c>
      <c r="D15" s="33" t="n">
        <v>0</v>
      </c>
      <c r="F15" s="25" t="inlineStr">
        <is>
          <t>0 = on retient la consommation. Pertinent si process consommateur d'eau.</t>
        </is>
      </c>
    </row>
    <row r="16" ht="20" customHeight="1">
      <c r="B16" s="30" t="inlineStr">
        <is>
          <t>Site(s) en zone de stress hydrique ?</t>
        </is>
      </c>
      <c r="D16" s="34" t="inlineStr">
        <is>
          <t>Non</t>
        </is>
      </c>
      <c r="F16" s="25" t="inlineStr">
        <is>
          <t>Indicateur VSME E3.</t>
        </is>
      </c>
    </row>
    <row r="17" ht="20" customHeight="1">
      <c r="B17" s="30" t="inlineStr">
        <is>
          <t>Rejets de polluants réglementés (air/eau/sol) ?</t>
        </is>
      </c>
      <c r="D17" s="34" t="inlineStr">
        <is>
          <t>Non</t>
        </is>
      </c>
      <c r="F17" s="25" t="inlineStr">
        <is>
          <t>Pour entreprises soumises à réglementation (VSME E2).</t>
        </is>
      </c>
    </row>
    <row r="18" ht="20" customHeight="1">
      <c r="B18" s="30" t="inlineStr">
        <is>
          <t>Sites près de zones sensibles à la biodiversité (nb)</t>
        </is>
      </c>
      <c r="D18" s="35" t="n">
        <v>0</v>
      </c>
      <c r="F18" s="25" t="inlineStr">
        <is>
          <t>Indicateur VSME E4.</t>
        </is>
      </c>
    </row>
    <row r="19" ht="20" customHeight="1">
      <c r="B19" s="30" t="inlineStr">
        <is>
          <t>Surface totale des locaux / terrains (m²)</t>
        </is>
      </c>
      <c r="D19" s="35" t="n">
        <v>0</v>
      </c>
      <c r="F19" s="25" t="inlineStr">
        <is>
          <t>Affectation des terres (VSME E4) et ratios d'intensité.</t>
        </is>
      </c>
    </row>
    <row r="20" ht="20" customHeight="1">
      <c r="B20" s="30" t="inlineStr">
        <is>
          <t>dont surface imperméabilisée (m²)</t>
        </is>
      </c>
      <c r="D20" s="35" t="n">
        <v>0</v>
      </c>
      <c r="F20" s="25" t="inlineStr">
        <is>
          <t>Optionnel.</t>
        </is>
      </c>
    </row>
    <row r="21" ht="20" customHeight="1">
      <c r="B21" s="30" t="inlineStr">
        <is>
          <t>Tonnage total de déchets (t)</t>
        </is>
      </c>
      <c r="D21" s="36" t="n">
        <v>0</v>
      </c>
      <c r="F21" s="25" t="inlineStr">
        <is>
          <t>Quantité physique : la compta ne donne que des euros.</t>
        </is>
      </c>
    </row>
    <row r="22" ht="20" customHeight="1">
      <c r="B22" s="30" t="inlineStr">
        <is>
          <t>dont déchets dangereux (t)</t>
        </is>
      </c>
      <c r="D22" s="36" t="n">
        <v>0</v>
      </c>
      <c r="F22" s="25" t="inlineStr">
        <is>
          <t>Ventilation VSME E5.</t>
        </is>
      </c>
    </row>
    <row r="23" ht="20" customHeight="1">
      <c r="B23" s="30" t="inlineStr">
        <is>
          <t>Part de déchets valorisés / recyclés</t>
        </is>
      </c>
      <c r="D23" s="32" t="n">
        <v>0</v>
      </c>
      <c r="F23" s="25" t="inlineStr">
        <is>
          <t>Saisir en %.</t>
        </is>
      </c>
    </row>
    <row r="24" ht="20" customHeight="1">
      <c r="B24" s="30" t="inlineStr">
        <is>
          <t>Secteur à flux de matières importants ?</t>
        </is>
      </c>
      <c r="D24" s="34" t="inlineStr">
        <is>
          <t>Non</t>
        </is>
      </c>
      <c r="F24" s="25" t="inlineStr">
        <is>
          <t>VSME E5 (flux massiques de matières).</t>
        </is>
      </c>
    </row>
    <row r="25" ht="20" customHeight="1">
      <c r="B25" s="30" t="inlineStr">
        <is>
          <t>Carburant principal de la flotte</t>
        </is>
      </c>
      <c r="D25" s="34" t="inlineStr">
        <is>
          <t>Gazole</t>
        </is>
      </c>
      <c r="F25" s="25" t="inlineStr">
        <is>
          <t>Indique le facteur à privilégier si vous avez un poste carburant.</t>
        </is>
      </c>
    </row>
    <row r="27" ht="23" customHeight="1">
      <c r="A27" s="37" t="inlineStr">
        <is>
          <t>SOCIAL · Effectifs, santé, formation (ESRS S1)</t>
        </is>
      </c>
    </row>
    <row r="28" ht="20" customHeight="1">
      <c r="B28" s="30" t="inlineStr">
        <is>
          <t>Accidents du travail avec arrêt (nombre)</t>
        </is>
      </c>
      <c r="D28" s="35" t="n">
        <v>0</v>
      </c>
      <c r="F28" s="25" t="inlineStr">
        <is>
          <t>Manuel : le bloc « arrêts » n'est pas présent dans vos DSN.</t>
        </is>
      </c>
    </row>
    <row r="29" ht="20" customHeight="1">
      <c r="B29" s="30" t="inlineStr">
        <is>
          <t>Jours d'arrêt liés aux AT</t>
        </is>
      </c>
      <c r="D29" s="35" t="n">
        <v>0</v>
      </c>
    </row>
    <row r="30" ht="20" customHeight="1">
      <c r="B30" s="30" t="inlineStr">
        <is>
          <t>Décès liés à des AT / maladies professionnelles</t>
        </is>
      </c>
      <c r="D30" s="35" t="n">
        <v>0</v>
      </c>
      <c r="F30" s="25" t="inlineStr">
        <is>
          <t>Indicateur VSME S1 (saisie manuelle).</t>
        </is>
      </c>
    </row>
    <row r="31" ht="20" customHeight="1">
      <c r="B31" s="30" t="inlineStr">
        <is>
          <t>Jours d'absence totaux (hors congés payés)</t>
        </is>
      </c>
      <c r="D31" s="35" t="n">
        <v>0</v>
      </c>
      <c r="F31" s="25" t="inlineStr">
        <is>
          <t>Maladie, etc. Sert au taux d'absentéisme.</t>
        </is>
      </c>
    </row>
    <row r="32" ht="20" customHeight="1">
      <c r="B32" s="30" t="inlineStr">
        <is>
          <t>Heures de formation dispensées (total)</t>
        </is>
      </c>
      <c r="D32" s="35" t="n">
        <v>0</v>
      </c>
      <c r="F32" s="25" t="inlineStr">
        <is>
          <t>Total sur l'exercice.</t>
        </is>
      </c>
    </row>
    <row r="33" ht="20" customHeight="1">
      <c r="B33" s="30" t="inlineStr">
        <is>
          <t>dont heures de formation aux femmes</t>
        </is>
      </c>
      <c r="D33" s="35" t="n">
        <v>0</v>
      </c>
      <c r="F33" s="25" t="inlineStr">
        <is>
          <t>Ventilation par sexe (VSME). Optionnel.</t>
        </is>
      </c>
    </row>
    <row r="34" ht="20" customHeight="1">
      <c r="B34" s="30" t="inlineStr">
        <is>
          <t>dont heures de formation aux hommes</t>
        </is>
      </c>
      <c r="D34" s="35" t="n">
        <v>0</v>
      </c>
      <c r="F34" s="25" t="inlineStr">
        <is>
          <t>Optionnel.</t>
        </is>
      </c>
    </row>
    <row r="35" ht="20" customHeight="1">
      <c r="B35" s="30" t="inlineStr">
        <is>
          <t>Salariés formés (nombre)</t>
        </is>
      </c>
      <c r="D35" s="35" t="n">
        <v>0</v>
      </c>
    </row>
    <row r="36" ht="20" customHeight="1">
      <c r="B36" s="30" t="inlineStr">
        <is>
          <t>Femmes dans l'encadrement</t>
        </is>
      </c>
      <c r="D36" s="32" t="n">
        <v>0</v>
      </c>
      <c r="F36" s="25" t="inlineStr">
        <is>
          <t>Saisir en %.</t>
        </is>
      </c>
    </row>
    <row r="37" ht="20" customHeight="1">
      <c r="B37" s="30" t="inlineStr">
        <is>
          <t>Départs sur l'exercice (nombre)</t>
        </is>
      </c>
      <c r="D37" s="35" t="n">
        <v>0</v>
      </c>
      <c r="F37" s="25" t="inlineStr">
        <is>
          <t>Manuel : le bloc « fin de contrat » n'est pas dans vos DSN.</t>
        </is>
      </c>
    </row>
    <row r="38" ht="20" customHeight="1">
      <c r="B38" s="30" t="inlineStr">
        <is>
          <t>Arrivées sur l'exercice (nombre)</t>
        </is>
      </c>
      <c r="D38" s="35" t="n">
        <v>0</v>
      </c>
    </row>
    <row r="39" ht="20" customHeight="1">
      <c r="B39" s="30" t="inlineStr">
        <is>
          <t>SMIC mensuel brut de référence (€)</t>
        </is>
      </c>
      <c r="D39" s="38" t="n">
        <v>1801.8</v>
      </c>
      <c r="F39" s="25" t="inlineStr">
        <is>
          <t>Sert au comptage des salariés au-dessus du SMIC. À actualiser chaque année.</t>
        </is>
      </c>
    </row>
    <row r="41" ht="23" customHeight="1">
      <c r="A41" s="39" t="inlineStr">
        <is>
          <t>GOUVERNANCE &amp; ÉTHIQUE (ESRS G1)</t>
        </is>
      </c>
    </row>
    <row r="42" ht="20" customHeight="1">
      <c r="B42" s="30" t="inlineStr">
        <is>
          <t>Référentiel de durabilité visé</t>
        </is>
      </c>
      <c r="D42" s="34" t="inlineStr">
        <is>
          <t>VSME</t>
        </is>
      </c>
      <c r="F42" s="25" t="inlineStr">
        <is>
          <t>VSME = norme volontaire PME (EFRAG).</t>
        </is>
      </c>
    </row>
    <row r="43" ht="20" customHeight="1">
      <c r="B43" s="30" t="inlineStr">
        <is>
          <t>Code de conduite / éthique formalisé ?</t>
        </is>
      </c>
      <c r="D43" s="34" t="inlineStr">
        <is>
          <t>Non</t>
        </is>
      </c>
    </row>
    <row r="44" ht="20" customHeight="1">
      <c r="B44" s="30" t="inlineStr">
        <is>
          <t>Politique de durabilité formalisée ?</t>
        </is>
      </c>
      <c r="D44" s="34" t="inlineStr">
        <is>
          <t>Non</t>
        </is>
      </c>
    </row>
    <row r="45" ht="20" customHeight="1">
      <c r="B45" s="30" t="inlineStr">
        <is>
          <t>Société à mission ?</t>
        </is>
      </c>
      <c r="D45" s="34" t="inlineStr">
        <is>
          <t>Non</t>
        </is>
      </c>
    </row>
    <row r="46" ht="20" customHeight="1">
      <c r="B46" s="30" t="inlineStr">
        <is>
          <t>Part d'achats locaux / France</t>
        </is>
      </c>
      <c r="D46" s="32" t="n">
        <v>0</v>
      </c>
      <c r="F46" s="25" t="inlineStr">
        <is>
          <t>Saisir en %.</t>
        </is>
      </c>
    </row>
    <row r="47" ht="20" customHeight="1">
      <c r="B47" s="30" t="inlineStr">
        <is>
          <t>Condamnations pour corruption (nombre)</t>
        </is>
      </c>
      <c r="D47" s="35" t="n">
        <v>0</v>
      </c>
      <c r="F47" s="25" t="inlineStr">
        <is>
          <t>Indicateur VSME G1.</t>
        </is>
      </c>
    </row>
    <row r="48" ht="20" customHeight="1">
      <c r="B48" s="30" t="inlineStr">
        <is>
          <t>Montant des amendes anti-corruption (€)</t>
        </is>
      </c>
      <c r="D48" s="40" t="n">
        <v>0</v>
      </c>
      <c r="F48" s="25" t="inlineStr">
        <is>
          <t>Indicateur VSME G1.</t>
        </is>
      </c>
    </row>
    <row r="50" ht="23" customHeight="1">
      <c r="A50" s="41" t="inlineStr">
        <is>
          <t>OBJECTIFS / CIBLES (facultatif)</t>
        </is>
      </c>
    </row>
    <row r="51" ht="20" customHeight="1">
      <c r="B51" s="30" t="inlineStr">
        <is>
          <t>Objectif de réduction des émissions</t>
        </is>
      </c>
      <c r="D51" s="32" t="n">
        <v>0</v>
      </c>
      <c r="F51" s="25" t="inlineStr">
        <is>
          <t>Cible de baisse en % (ex. 5%).</t>
        </is>
      </c>
    </row>
    <row r="52" ht="20" customHeight="1">
      <c r="B52" s="30" t="inlineStr">
        <is>
          <t>Objectif : femmes dans l'encadrement</t>
        </is>
      </c>
      <c r="D52" s="32" t="n">
        <v>0</v>
      </c>
      <c r="F52" s="25" t="inlineStr">
        <is>
          <t>Cible en %.</t>
        </is>
      </c>
    </row>
    <row r="53" ht="20" customHeight="1">
      <c r="B53" s="30" t="inlineStr">
        <is>
          <t>Objectif : heures de formation / salarié</t>
        </is>
      </c>
      <c r="D53" s="31" t="n">
        <v>0</v>
      </c>
      <c r="F53" s="25" t="inlineStr">
        <is>
          <t>Cible en heures par salarié.</t>
        </is>
      </c>
    </row>
  </sheetData>
  <mergeCells count="7">
    <mergeCell ref="A41:F41"/>
    <mergeCell ref="A2:F2"/>
    <mergeCell ref="A13:F13"/>
    <mergeCell ref="A1:F1"/>
    <mergeCell ref="A27:F27"/>
    <mergeCell ref="A6:F6"/>
    <mergeCell ref="A50:F50"/>
  </mergeCells>
  <dataValidations count="8">
    <dataValidation sqref="D16" showDropDown="0" showInputMessage="0" showErrorMessage="0" allowBlank="1" type="list">
      <formula1>"Oui,Non"</formula1>
    </dataValidation>
    <dataValidation sqref="D17" showDropDown="0" showInputMessage="0" showErrorMessage="0" allowBlank="1" type="list">
      <formula1>"Oui,Non"</formula1>
    </dataValidation>
    <dataValidation sqref="D24" showDropDown="0" showInputMessage="0" showErrorMessage="0" allowBlank="1" type="list">
      <formula1>"Oui,Non"</formula1>
    </dataValidation>
    <dataValidation sqref="D25" showDropDown="0" showInputMessage="0" showErrorMessage="0" allowBlank="1" type="list">
      <formula1>"Gazole,Essence,GNR,Aucun"</formula1>
    </dataValidation>
    <dataValidation sqref="D42" showDropDown="0" showInputMessage="0" showErrorMessage="0" allowBlank="1" type="list">
      <formula1>"VSME,Volontaire,Aucun"</formula1>
    </dataValidation>
    <dataValidation sqref="D43" showDropDown="0" showInputMessage="0" showErrorMessage="0" allowBlank="1" type="list">
      <formula1>"Oui,Non"</formula1>
    </dataValidation>
    <dataValidation sqref="D44" showDropDown="0" showInputMessage="0" showErrorMessage="0" allowBlank="1" type="list">
      <formula1>"Oui,Non"</formula1>
    </dataValidation>
    <dataValidation sqref="D45" showDropDown="0" showInputMessage="0" showErrorMessage="0" allowBlank="1" type="list">
      <formula1>"Oui,Non"</formula1>
    </dataValidation>
  </dataValidations>
  <printOptions horizontalCentered="1"/>
  <pageMargins left="0.3" right="0.3" top="0.4" bottom="0.4" header="0.5" footer="0.5"/>
  <pageSetup orientation="landscape" fitToHeight="0" fitToWidth="1"/>
</worksheet>
</file>

<file path=xl/worksheets/sheet3.xml><?xml version="1.0" encoding="utf-8"?>
<worksheet xmlns="http://schemas.openxmlformats.org/spreadsheetml/2006/main">
  <sheetPr>
    <tabColor rgb="001B7A52"/>
    <outlinePr summaryBelow="1" summaryRight="1"/>
    <pageSetUpPr fitToPage="1"/>
  </sheetPr>
  <dimension ref="A1:L80"/>
  <sheetViews>
    <sheetView showGridLines="0" tabSelected="0" workbookViewId="0">
      <selection activeCell="A1" sqref="A1"/>
    </sheetView>
  </sheetViews>
  <sheetFormatPr baseColWidth="8" defaultRowHeight="15"/>
  <cols>
    <col width="11.5" customWidth="1" min="1" max="1"/>
    <col width="11.5" customWidth="1" min="2" max="2"/>
    <col width="11.5" customWidth="1" min="3" max="3"/>
    <col width="11.5" customWidth="1" min="4" max="4"/>
    <col width="11.5" customWidth="1" min="5" max="5"/>
    <col width="11.5" customWidth="1" min="6" max="6"/>
    <col width="11.5" customWidth="1" min="7" max="7"/>
    <col width="11.5" customWidth="1" min="8" max="8"/>
    <col width="11.5" customWidth="1" min="9" max="9"/>
    <col width="11.5" customWidth="1" min="10" max="10"/>
    <col width="11.5" customWidth="1" min="11" max="11"/>
    <col width="11.5" customWidth="1" min="12" max="12"/>
  </cols>
  <sheetData>
    <row r="1" ht="30" customHeight="1">
      <c r="A1" s="20" t="inlineStr">
        <is>
          <t>TABLEAU DE BORD DE DURABILITÉ</t>
        </is>
      </c>
    </row>
    <row r="2" ht="15" customHeight="1">
      <c r="A2" s="21" t="inlineStr">
        <is>
          <t>Estimation ESG d'amorçage (FEC + DSN + saisies) pour le dialogue avec le dirigeant — référentiel VSME. Les valeurs « déclarées » de la feuille 02 priment sur l'estimation. Indicatif, non réglementaire.</t>
        </is>
      </c>
    </row>
    <row r="4" ht="18" customHeight="1">
      <c r="A4" s="42" t="inlineStr">
        <is>
          <t>Émissions totales</t>
        </is>
      </c>
      <c r="B4" s="43" t="n"/>
      <c r="C4" s="43" t="n"/>
      <c r="D4" s="42" t="inlineStr">
        <is>
          <t>Intensité carbone</t>
        </is>
      </c>
      <c r="E4" s="43" t="n"/>
      <c r="F4" s="43" t="n"/>
      <c r="G4" s="42" t="inlineStr">
        <is>
          <t>Énergie consommée</t>
        </is>
      </c>
      <c r="H4" s="43" t="n"/>
      <c r="I4" s="43" t="n"/>
      <c r="J4" s="42" t="inlineStr">
        <is>
          <t>Eau consommée</t>
        </is>
      </c>
      <c r="K4" s="43" t="n"/>
      <c r="L4" s="43" t="n"/>
    </row>
    <row r="5" ht="34" customHeight="1">
      <c r="A5" s="44">
        <f>GES_RET</f>
        <v/>
      </c>
      <c r="B5" s="43" t="n"/>
      <c r="C5" s="43" t="n"/>
      <c r="D5" s="44">
        <f>IFERROR(GES_RET/(CA/1000000),0)</f>
        <v/>
      </c>
      <c r="E5" s="43" t="n"/>
      <c r="F5" s="43" t="n"/>
      <c r="G5" s="44">
        <f>ENER_MWH</f>
        <v/>
      </c>
      <c r="H5" s="43" t="n"/>
      <c r="I5" s="43" t="n"/>
      <c r="J5" s="45">
        <f>EAU_M3</f>
        <v/>
      </c>
      <c r="K5" s="43" t="n"/>
      <c r="L5" s="43" t="n"/>
    </row>
    <row r="6" ht="15" customHeight="1">
      <c r="A6" s="46" t="inlineStr">
        <is>
          <t>tCO2e (Scopes 1+2 +3 estimé)</t>
        </is>
      </c>
      <c r="B6" s="43" t="n"/>
      <c r="C6" s="43" t="n"/>
      <c r="D6" s="46" t="inlineStr">
        <is>
          <t>tCO2e / M€ de CA</t>
        </is>
      </c>
      <c r="E6" s="43" t="n"/>
      <c r="F6" s="43" t="n"/>
      <c r="G6" s="46" t="inlineStr">
        <is>
          <t>MWh</t>
        </is>
      </c>
      <c r="H6" s="43" t="n"/>
      <c r="I6" s="43" t="n"/>
      <c r="J6" s="46" t="inlineStr">
        <is>
          <t>m³</t>
        </is>
      </c>
      <c r="K6" s="43" t="n"/>
      <c r="L6" s="43" t="n"/>
    </row>
    <row r="8" ht="18" customHeight="1">
      <c r="A8" s="47" t="inlineStr">
        <is>
          <t>Effectif moyen</t>
        </is>
      </c>
      <c r="B8" s="43" t="n"/>
      <c r="C8" s="43" t="n"/>
      <c r="D8" s="47" t="inlineStr">
        <is>
          <t>Féminisation</t>
        </is>
      </c>
      <c r="E8" s="43" t="n"/>
      <c r="F8" s="43" t="n"/>
      <c r="G8" s="47" t="inlineStr">
        <is>
          <t>Part de CDI</t>
        </is>
      </c>
      <c r="H8" s="43" t="n"/>
      <c r="I8" s="43" t="n"/>
      <c r="J8" s="48" t="inlineStr">
        <is>
          <t>Pilotage ESG</t>
        </is>
      </c>
      <c r="K8" s="43" t="n"/>
      <c r="L8" s="43" t="n"/>
    </row>
    <row r="9" ht="34" customHeight="1">
      <c r="A9" s="49">
        <f>EFF</f>
        <v/>
      </c>
      <c r="B9" s="43" t="n"/>
      <c r="C9" s="43" t="n"/>
      <c r="D9" s="50">
        <f>PCT_F</f>
        <v/>
      </c>
      <c r="E9" s="43" t="n"/>
      <c r="F9" s="43" t="n"/>
      <c r="G9" s="50">
        <f>PCT_CDI</f>
        <v/>
      </c>
      <c r="H9" s="43" t="n"/>
      <c r="I9" s="43" t="n"/>
      <c r="J9" s="51">
        <f>PILOTAGE_ESG</f>
        <v/>
      </c>
      <c r="K9" s="43" t="n"/>
      <c r="L9" s="43" t="n"/>
    </row>
    <row r="10" ht="15" customHeight="1">
      <c r="A10" s="52" t="inlineStr">
        <is>
          <t>salariés</t>
        </is>
      </c>
      <c r="B10" s="43" t="n"/>
      <c r="C10" s="43" t="n"/>
      <c r="D10" s="52" t="inlineStr">
        <is>
          <t>% de l'effectif</t>
        </is>
      </c>
      <c r="E10" s="43" t="n"/>
      <c r="F10" s="43" t="n"/>
      <c r="G10" s="52" t="inlineStr">
        <is>
          <t>% des contrats</t>
        </is>
      </c>
      <c r="H10" s="43" t="n"/>
      <c r="I10" s="43" t="n"/>
      <c r="J10" s="53" t="inlineStr">
        <is>
          <t>€ engagés</t>
        </is>
      </c>
      <c r="K10" s="43" t="n"/>
      <c r="L10" s="43" t="n"/>
    </row>
    <row r="12" ht="23" customHeight="1">
      <c r="A12" s="29" t="inlineStr">
        <is>
          <t>ENVIRONNEMENT  —  ESRS E1 à E5</t>
        </is>
      </c>
    </row>
    <row r="13">
      <c r="A13" s="54" t="inlineStr">
        <is>
          <t>Indicateur</t>
        </is>
      </c>
      <c r="F13" s="55" t="inlineStr">
        <is>
          <t>Valeur</t>
        </is>
      </c>
      <c r="H13" s="55" t="inlineStr">
        <is>
          <t>Unité</t>
        </is>
      </c>
      <c r="I13" s="55" t="inlineStr">
        <is>
          <t>Source</t>
        </is>
      </c>
      <c r="J13" s="55" t="inlineStr">
        <is>
          <t>Objectif</t>
        </is>
      </c>
      <c r="K13" s="55" t="inlineStr">
        <is>
          <t>Écart</t>
        </is>
      </c>
    </row>
    <row r="14">
      <c r="A14" s="56" t="inlineStr">
        <is>
          <t>Émissions totales (Scopes 1-2-3)</t>
        </is>
      </c>
      <c r="F14" s="57">
        <f>GES_RET</f>
        <v/>
      </c>
      <c r="H14" s="58" t="inlineStr">
        <is>
          <t>tCO2e</t>
        </is>
      </c>
      <c r="I14" s="58" t="inlineStr">
        <is>
          <t>FEC/Saisie</t>
        </is>
      </c>
      <c r="J14" s="43" t="inlineStr"/>
      <c r="K14" s="43" t="inlineStr"/>
    </row>
    <row r="15">
      <c r="A15" s="56" t="inlineStr">
        <is>
          <t>dont Scope 1 — combustion directe</t>
        </is>
      </c>
      <c r="F15" s="57">
        <f>SCOPE1_RET</f>
        <v/>
      </c>
      <c r="H15" s="58" t="inlineStr">
        <is>
          <t>tCO2e</t>
        </is>
      </c>
      <c r="I15" s="58" t="inlineStr">
        <is>
          <t>FEC/Saisie</t>
        </is>
      </c>
      <c r="J15" s="43" t="inlineStr"/>
      <c r="K15" s="43" t="inlineStr"/>
    </row>
    <row r="16">
      <c r="A16" s="56" t="inlineStr">
        <is>
          <t>dont Scope 2 — énergie achetée</t>
        </is>
      </c>
      <c r="F16" s="57">
        <f>SCOPE2_RET</f>
        <v/>
      </c>
      <c r="H16" s="58" t="inlineStr">
        <is>
          <t>tCO2e</t>
        </is>
      </c>
      <c r="I16" s="58" t="inlineStr">
        <is>
          <t>FEC/Saisie</t>
        </is>
      </c>
      <c r="J16" s="43" t="inlineStr"/>
      <c r="K16" s="43" t="inlineStr"/>
    </row>
    <row r="17">
      <c r="A17" s="56" t="inlineStr">
        <is>
          <t>dont Scope 3 — amont / aval (estimé)</t>
        </is>
      </c>
      <c r="F17" s="57">
        <f>GES3</f>
        <v/>
      </c>
      <c r="H17" s="58" t="inlineStr">
        <is>
          <t>tCO2e</t>
        </is>
      </c>
      <c r="I17" s="58" t="inlineStr">
        <is>
          <t>FEC</t>
        </is>
      </c>
      <c r="J17" s="43" t="inlineStr"/>
      <c r="K17" s="43" t="inlineStr"/>
    </row>
    <row r="18">
      <c r="A18" s="56" t="inlineStr">
        <is>
          <t>Intensité carbone / chiffre d'affaires</t>
        </is>
      </c>
      <c r="F18" s="57">
        <f>IFERROR(GES_RET/(CA/1000000),0)</f>
        <v/>
      </c>
      <c r="H18" s="58" t="inlineStr">
        <is>
          <t>tCO2e/M€</t>
        </is>
      </c>
      <c r="I18" s="58" t="inlineStr">
        <is>
          <t>Auto</t>
        </is>
      </c>
      <c r="J18" s="43" t="inlineStr"/>
      <c r="K18" s="43" t="inlineStr"/>
    </row>
    <row r="19">
      <c r="A19" s="56" t="inlineStr">
        <is>
          <t>Intensité carbone / ETP</t>
        </is>
      </c>
      <c r="F19" s="59">
        <f>IFERROR(GES_RET/ETP,0)</f>
        <v/>
      </c>
      <c r="H19" s="58" t="inlineStr">
        <is>
          <t>tCO2e/ETP</t>
        </is>
      </c>
      <c r="I19" s="58" t="inlineStr">
        <is>
          <t>Auto</t>
        </is>
      </c>
      <c r="J19" s="43" t="inlineStr"/>
      <c r="K19" s="43" t="inlineStr"/>
    </row>
    <row r="20">
      <c r="A20" s="56" t="inlineStr">
        <is>
          <t>Énergie consommée</t>
        </is>
      </c>
      <c r="F20" s="57">
        <f>ENER_MWH</f>
        <v/>
      </c>
      <c r="H20" s="58" t="inlineStr">
        <is>
          <t>MWh</t>
        </is>
      </c>
      <c r="I20" s="58" t="inlineStr">
        <is>
          <t>FEC/Saisie</t>
        </is>
      </c>
      <c r="J20" s="43" t="inlineStr"/>
      <c r="K20" s="43" t="inlineStr"/>
    </row>
    <row r="21">
      <c r="A21" s="56" t="inlineStr">
        <is>
          <t>Intensité énergétique / CA</t>
        </is>
      </c>
      <c r="F21" s="57">
        <f>IFERROR(ENER_MWH/(CA/1000000),0)</f>
        <v/>
      </c>
      <c r="H21" s="58" t="inlineStr">
        <is>
          <t>MWh/M€</t>
        </is>
      </c>
      <c r="I21" s="58" t="inlineStr">
        <is>
          <t>Auto</t>
        </is>
      </c>
      <c r="J21" s="43" t="inlineStr"/>
      <c r="K21" s="43" t="inlineStr"/>
    </row>
    <row r="22">
      <c r="A22" s="56" t="inlineStr">
        <is>
          <t>Part d'électricité renouvelable</t>
        </is>
      </c>
      <c r="F22" s="60">
        <f>M_ELEC_RENOUV</f>
        <v/>
      </c>
      <c r="H22" s="58" t="inlineStr">
        <is>
          <t>%</t>
        </is>
      </c>
      <c r="I22" s="58" t="inlineStr">
        <is>
          <t>Saisie</t>
        </is>
      </c>
      <c r="J22" s="43" t="inlineStr"/>
      <c r="K22" s="43" t="inlineStr"/>
    </row>
    <row r="23">
      <c r="A23" s="56" t="inlineStr">
        <is>
          <t>Prélèvements d'eau</t>
        </is>
      </c>
      <c r="F23" s="61">
        <f>EAU_PRELEV_RET</f>
        <v/>
      </c>
      <c r="H23" s="58" t="inlineStr">
        <is>
          <t>m³</t>
        </is>
      </c>
      <c r="I23" s="58" t="inlineStr">
        <is>
          <t>Saisie/FEC</t>
        </is>
      </c>
      <c r="J23" s="43" t="inlineStr"/>
      <c r="K23" s="43" t="inlineStr"/>
    </row>
    <row r="24">
      <c r="A24" s="56" t="inlineStr">
        <is>
          <t>Eau consommée</t>
        </is>
      </c>
      <c r="F24" s="61">
        <f>EAU_M3</f>
        <v/>
      </c>
      <c r="H24" s="58" t="inlineStr">
        <is>
          <t>m³</t>
        </is>
      </c>
      <c r="I24" s="58" t="inlineStr">
        <is>
          <t>Saisie/FEC</t>
        </is>
      </c>
      <c r="J24" s="43" t="inlineStr"/>
      <c r="K24" s="43" t="inlineStr"/>
    </row>
    <row r="25">
      <c r="A25" s="56" t="inlineStr">
        <is>
          <t>Intensité eau / CA</t>
        </is>
      </c>
      <c r="F25" s="61">
        <f>IFERROR(EAU_M3/(CA/1000000),0)</f>
        <v/>
      </c>
      <c r="H25" s="58" t="inlineStr">
        <is>
          <t>m³/M€</t>
        </is>
      </c>
      <c r="I25" s="58" t="inlineStr">
        <is>
          <t>Auto</t>
        </is>
      </c>
      <c r="J25" s="43" t="inlineStr"/>
      <c r="K25" s="43" t="inlineStr"/>
    </row>
    <row r="26">
      <c r="A26" s="56" t="inlineStr">
        <is>
          <t>Déchets produits</t>
        </is>
      </c>
      <c r="F26" s="57">
        <f>DECHET_T</f>
        <v/>
      </c>
      <c r="H26" s="58" t="inlineStr">
        <is>
          <t>t</t>
        </is>
      </c>
      <c r="I26" s="58" t="inlineStr">
        <is>
          <t>Saisie</t>
        </is>
      </c>
      <c r="J26" s="43" t="inlineStr"/>
      <c r="K26" s="43" t="inlineStr"/>
    </row>
    <row r="27">
      <c r="A27" s="56" t="inlineStr">
        <is>
          <t>dont déchets dangereux</t>
        </is>
      </c>
      <c r="F27" s="57">
        <f>M_DECHET_DANGEREUX</f>
        <v/>
      </c>
      <c r="H27" s="58" t="inlineStr">
        <is>
          <t>t</t>
        </is>
      </c>
      <c r="I27" s="58" t="inlineStr">
        <is>
          <t>Saisie</t>
        </is>
      </c>
      <c r="J27" s="43" t="inlineStr"/>
      <c r="K27" s="43" t="inlineStr"/>
    </row>
    <row r="28">
      <c r="A28" s="56" t="inlineStr">
        <is>
          <t>Taux de valorisation des déchets</t>
        </is>
      </c>
      <c r="F28" s="60">
        <f>M_DECHET_VALOR</f>
        <v/>
      </c>
      <c r="H28" s="58" t="inlineStr">
        <is>
          <t>%</t>
        </is>
      </c>
      <c r="I28" s="58" t="inlineStr">
        <is>
          <t>Saisie</t>
        </is>
      </c>
      <c r="J28" s="43" t="inlineStr"/>
      <c r="K28" s="43" t="inlineStr"/>
    </row>
    <row r="29">
      <c r="A29" s="56" t="inlineStr">
        <is>
          <t>Intensité déchets / CA</t>
        </is>
      </c>
      <c r="F29" s="61">
        <f>IFERROR(DECHET_T*1000/(CA/1000000),0)</f>
        <v/>
      </c>
      <c r="H29" s="58" t="inlineStr">
        <is>
          <t>kg/M€</t>
        </is>
      </c>
      <c r="I29" s="58" t="inlineStr">
        <is>
          <t>Auto</t>
        </is>
      </c>
      <c r="J29" s="43" t="inlineStr"/>
      <c r="K29" s="43" t="inlineStr"/>
    </row>
    <row r="31" ht="23" customHeight="1">
      <c r="A31" s="37" t="inlineStr">
        <is>
          <t>SOCIAL  —  ESRS S1</t>
        </is>
      </c>
    </row>
    <row r="32">
      <c r="A32" s="62" t="inlineStr">
        <is>
          <t>Indicateur</t>
        </is>
      </c>
      <c r="F32" s="63" t="inlineStr">
        <is>
          <t>Valeur</t>
        </is>
      </c>
      <c r="H32" s="63" t="inlineStr">
        <is>
          <t>Unité</t>
        </is>
      </c>
      <c r="I32" s="63" t="inlineStr">
        <is>
          <t>Source</t>
        </is>
      </c>
      <c r="J32" s="63" t="inlineStr">
        <is>
          <t>Objectif</t>
        </is>
      </c>
      <c r="K32" s="63" t="inlineStr">
        <is>
          <t>Écart</t>
        </is>
      </c>
    </row>
    <row r="33">
      <c r="A33" s="64" t="inlineStr">
        <is>
          <t>Effectif moyen</t>
        </is>
      </c>
      <c r="F33" s="65">
        <f>EFF</f>
        <v/>
      </c>
      <c r="H33" s="58" t="inlineStr">
        <is>
          <t>salariés</t>
        </is>
      </c>
      <c r="I33" s="58" t="inlineStr">
        <is>
          <t>DSN</t>
        </is>
      </c>
      <c r="J33" s="43" t="inlineStr"/>
      <c r="K33" s="43" t="inlineStr"/>
    </row>
    <row r="34">
      <c r="A34" s="64" t="inlineStr">
        <is>
          <t>Équivalents temps plein (ETP)</t>
        </is>
      </c>
      <c r="F34" s="65">
        <f>ETP</f>
        <v/>
      </c>
      <c r="H34" s="58" t="inlineStr">
        <is>
          <t>ETP</t>
        </is>
      </c>
      <c r="I34" s="58" t="inlineStr">
        <is>
          <t>DSN</t>
        </is>
      </c>
      <c r="J34" s="43" t="inlineStr"/>
      <c r="K34" s="43" t="inlineStr"/>
    </row>
    <row r="35">
      <c r="A35" s="64" t="inlineStr">
        <is>
          <t>Intensité d'emploi / CA</t>
        </is>
      </c>
      <c r="F35" s="65">
        <f>IFERROR(ETP/(CA/1000000),0)</f>
        <v/>
      </c>
      <c r="H35" s="58" t="inlineStr">
        <is>
          <t>ETP/M€</t>
        </is>
      </c>
      <c r="I35" s="58" t="inlineStr">
        <is>
          <t>Auto</t>
        </is>
      </c>
      <c r="J35" s="43" t="inlineStr"/>
      <c r="K35" s="43" t="inlineStr"/>
    </row>
    <row r="36">
      <c r="A36" s="64" t="inlineStr">
        <is>
          <t>Taux de féminisation</t>
        </is>
      </c>
      <c r="F36" s="66">
        <f>PCT_F</f>
        <v/>
      </c>
      <c r="H36" s="58" t="inlineStr">
        <is>
          <t>%</t>
        </is>
      </c>
      <c r="I36" s="58" t="inlineStr">
        <is>
          <t>DSN</t>
        </is>
      </c>
      <c r="J36" s="43" t="inlineStr"/>
      <c r="K36" s="43" t="inlineStr"/>
    </row>
    <row r="37">
      <c r="A37" s="64" t="inlineStr">
        <is>
          <t>Femmes dans l'encadrement</t>
        </is>
      </c>
      <c r="F37" s="66">
        <f>M_FEMMES_CADRES</f>
        <v/>
      </c>
      <c r="H37" s="58" t="inlineStr">
        <is>
          <t>%</t>
        </is>
      </c>
      <c r="I37" s="58" t="inlineStr">
        <is>
          <t>Saisie</t>
        </is>
      </c>
      <c r="J37" s="67">
        <f>M_OBJ_FEMMES</f>
        <v/>
      </c>
      <c r="K37" s="68">
        <f>IF(M_OBJ_FEMMES=0,"",M_FEMMES_CADRES-M_OBJ_FEMMES)</f>
        <v/>
      </c>
    </row>
    <row r="38">
      <c r="A38" s="64" t="inlineStr">
        <is>
          <t>Part de contrats CDI</t>
        </is>
      </c>
      <c r="F38" s="66">
        <f>PCT_CDI</f>
        <v/>
      </c>
      <c r="H38" s="58" t="inlineStr">
        <is>
          <t>%</t>
        </is>
      </c>
      <c r="I38" s="58" t="inlineStr">
        <is>
          <t>DSN</t>
        </is>
      </c>
      <c r="J38" s="43" t="inlineStr"/>
      <c r="K38" s="43" t="inlineStr"/>
    </row>
    <row r="39">
      <c r="A39" s="64" t="inlineStr">
        <is>
          <t>Salariés couverts par une convention collective</t>
        </is>
      </c>
      <c r="F39" s="66">
        <f>PCT_CONV</f>
        <v/>
      </c>
      <c r="H39" s="58" t="inlineStr">
        <is>
          <t>%</t>
        </is>
      </c>
      <c r="I39" s="58" t="inlineStr">
        <is>
          <t>DSN</t>
        </is>
      </c>
      <c r="J39" s="43" t="inlineStr"/>
      <c r="K39" s="43" t="inlineStr"/>
    </row>
    <row r="40">
      <c r="A40" s="64" t="inlineStr">
        <is>
          <t>Écart de rémunération femmes / hommes</t>
        </is>
      </c>
      <c r="F40" s="66">
        <f>ECART_REMU</f>
        <v/>
      </c>
      <c r="H40" s="58" t="inlineStr">
        <is>
          <t>%</t>
        </is>
      </c>
      <c r="I40" s="58" t="inlineStr">
        <is>
          <t>DSN</t>
        </is>
      </c>
      <c r="J40" s="43" t="inlineStr"/>
      <c r="K40" s="43" t="inlineStr"/>
    </row>
    <row r="41">
      <c r="A41" s="64" t="inlineStr">
        <is>
          <t>Salariés rémunérés au-dessus du SMIC</t>
        </is>
      </c>
      <c r="F41" s="66">
        <f>PCT_SMIC</f>
        <v/>
      </c>
      <c r="H41" s="58" t="inlineStr">
        <is>
          <t>%</t>
        </is>
      </c>
      <c r="I41" s="58" t="inlineStr">
        <is>
          <t>DSN</t>
        </is>
      </c>
      <c r="J41" s="43" t="inlineStr"/>
      <c r="K41" s="43" t="inlineStr"/>
    </row>
    <row r="42">
      <c r="A42" s="64" t="inlineStr">
        <is>
          <t>Âge moyen</t>
        </is>
      </c>
      <c r="F42" s="65">
        <f>AGE</f>
        <v/>
      </c>
      <c r="H42" s="58" t="inlineStr">
        <is>
          <t>ans</t>
        </is>
      </c>
      <c r="I42" s="58" t="inlineStr">
        <is>
          <t>DSN</t>
        </is>
      </c>
      <c r="J42" s="43" t="inlineStr"/>
      <c r="K42" s="43" t="inlineStr"/>
    </row>
    <row r="43">
      <c r="A43" s="64" t="inlineStr">
        <is>
          <t>Masse salariale brute</t>
        </is>
      </c>
      <c r="F43" s="69">
        <f>MASSE_SAL</f>
        <v/>
      </c>
      <c r="H43" s="58" t="inlineStr">
        <is>
          <t>€</t>
        </is>
      </c>
      <c r="I43" s="58" t="inlineStr">
        <is>
          <t>FEC</t>
        </is>
      </c>
      <c r="J43" s="43" t="inlineStr"/>
      <c r="K43" s="43" t="inlineStr"/>
    </row>
    <row r="44">
      <c r="A44" s="64" t="inlineStr">
        <is>
          <t>Poids de la masse salariale / CA</t>
        </is>
      </c>
      <c r="F44" s="66">
        <f>IFERROR(MASSE_SAL/CA,0)</f>
        <v/>
      </c>
      <c r="H44" s="58" t="inlineStr">
        <is>
          <t>%</t>
        </is>
      </c>
      <c r="I44" s="58" t="inlineStr">
        <is>
          <t>Auto</t>
        </is>
      </c>
      <c r="J44" s="43" t="inlineStr"/>
      <c r="K44" s="43" t="inlineStr"/>
    </row>
    <row r="45">
      <c r="A45" s="64" t="inlineStr">
        <is>
          <t>Effort de formation</t>
        </is>
      </c>
      <c r="F45" s="65">
        <f>IFERROR(M_FORM_HEURES/EFF,0)</f>
        <v/>
      </c>
      <c r="H45" s="58" t="inlineStr">
        <is>
          <t>h/sal</t>
        </is>
      </c>
      <c r="I45" s="58" t="inlineStr">
        <is>
          <t>Saisie</t>
        </is>
      </c>
      <c r="J45" s="70">
        <f>M_OBJ_FORM</f>
        <v/>
      </c>
      <c r="K45" s="71">
        <f>IF(M_OBJ_FORM=0,"",IFERROR(M_FORM_HEURES/EFF,0)-M_OBJ_FORM)</f>
        <v/>
      </c>
    </row>
    <row r="46">
      <c r="A46" s="64" t="inlineStr">
        <is>
          <t>Taux d'absentéisme</t>
        </is>
      </c>
      <c r="F46" s="66">
        <f>IFERROR(M_ABSENCE_JOURS/(EFF*228),0)</f>
        <v/>
      </c>
      <c r="H46" s="58" t="inlineStr">
        <is>
          <t>%</t>
        </is>
      </c>
      <c r="I46" s="58" t="inlineStr">
        <is>
          <t>Saisie</t>
        </is>
      </c>
      <c r="J46" s="43" t="inlineStr"/>
      <c r="K46" s="43" t="inlineStr"/>
    </row>
    <row r="47">
      <c r="A47" s="64" t="inlineStr">
        <is>
          <t>Accidents du travail avec arrêt</t>
        </is>
      </c>
      <c r="F47" s="72">
        <f>M_AT</f>
        <v/>
      </c>
      <c r="H47" s="58" t="inlineStr">
        <is>
          <t>nb</t>
        </is>
      </c>
      <c r="I47" s="58" t="inlineStr">
        <is>
          <t>Saisie</t>
        </is>
      </c>
      <c r="J47" s="43" t="inlineStr"/>
      <c r="K47" s="43" t="inlineStr"/>
    </row>
    <row r="48">
      <c r="A48" s="64" t="inlineStr">
        <is>
          <t>Décès AT / maladies professionnelles</t>
        </is>
      </c>
      <c r="F48" s="72">
        <f>M_AT_DECES</f>
        <v/>
      </c>
      <c r="H48" s="58" t="inlineStr">
        <is>
          <t>nb</t>
        </is>
      </c>
      <c r="I48" s="58" t="inlineStr">
        <is>
          <t>Saisie</t>
        </is>
      </c>
      <c r="J48" s="43" t="inlineStr"/>
      <c r="K48" s="43" t="inlineStr"/>
    </row>
    <row r="49">
      <c r="A49" s="64" t="inlineStr">
        <is>
          <t>Taux de rotation (turnover)</t>
        </is>
      </c>
      <c r="F49" s="66">
        <f>IFERROR((M_TURN_DEP+M_TURN_ARR)/2/EFF,0)</f>
        <v/>
      </c>
      <c r="H49" s="58" t="inlineStr">
        <is>
          <t>%</t>
        </is>
      </c>
      <c r="I49" s="58" t="inlineStr">
        <is>
          <t>Saisie</t>
        </is>
      </c>
      <c r="J49" s="43" t="inlineStr"/>
      <c r="K49" s="43" t="inlineStr"/>
    </row>
    <row r="51" ht="23" customHeight="1">
      <c r="A51" s="39" t="inlineStr">
        <is>
          <t>GOUVERNANCE  —  ESRS G1</t>
        </is>
      </c>
    </row>
    <row r="52">
      <c r="A52" s="73" t="inlineStr">
        <is>
          <t>Indicateur</t>
        </is>
      </c>
      <c r="F52" s="74" t="inlineStr">
        <is>
          <t>Valeur</t>
        </is>
      </c>
      <c r="H52" s="74" t="inlineStr">
        <is>
          <t>Unité</t>
        </is>
      </c>
      <c r="I52" s="74" t="inlineStr">
        <is>
          <t>Source</t>
        </is>
      </c>
      <c r="J52" s="74" t="inlineStr">
        <is>
          <t>Objectif</t>
        </is>
      </c>
      <c r="K52" s="74" t="inlineStr">
        <is>
          <t>Écart</t>
        </is>
      </c>
    </row>
    <row r="53">
      <c r="A53" s="75" t="inlineStr">
        <is>
          <t>Dépenses de pilotage ESG</t>
        </is>
      </c>
      <c r="F53" s="76">
        <f>PILOTAGE_ESG</f>
        <v/>
      </c>
      <c r="H53" s="58" t="inlineStr">
        <is>
          <t>€</t>
        </is>
      </c>
      <c r="I53" s="58" t="inlineStr">
        <is>
          <t>FEC</t>
        </is>
      </c>
      <c r="J53" s="43" t="inlineStr"/>
      <c r="K53" s="43" t="inlineStr"/>
    </row>
    <row r="54">
      <c r="A54" s="75" t="inlineStr">
        <is>
          <t>Dons &amp; mécénat</t>
        </is>
      </c>
      <c r="F54" s="76">
        <f>DONS</f>
        <v/>
      </c>
      <c r="H54" s="58" t="inlineStr">
        <is>
          <t>€</t>
        </is>
      </c>
      <c r="I54" s="58" t="inlineStr">
        <is>
          <t>FEC</t>
        </is>
      </c>
      <c r="J54" s="43" t="inlineStr"/>
      <c r="K54" s="43" t="inlineStr"/>
    </row>
    <row r="55">
      <c r="A55" s="75" t="inlineStr">
        <is>
          <t>Contribution fiscale (impôts &amp; taxes)</t>
        </is>
      </c>
      <c r="F55" s="76">
        <f>FISCAL</f>
        <v/>
      </c>
      <c r="H55" s="58" t="inlineStr">
        <is>
          <t>€</t>
        </is>
      </c>
      <c r="I55" s="58" t="inlineStr">
        <is>
          <t>FEC</t>
        </is>
      </c>
      <c r="J55" s="43" t="inlineStr"/>
      <c r="K55" s="43" t="inlineStr"/>
    </row>
    <row r="56">
      <c r="A56" s="75" t="inlineStr">
        <is>
          <t>Charges sociales (cotisations)</t>
        </is>
      </c>
      <c r="F56" s="76">
        <f>CHARGES_SOC</f>
        <v/>
      </c>
      <c r="H56" s="58" t="inlineStr">
        <is>
          <t>€</t>
        </is>
      </c>
      <c r="I56" s="58" t="inlineStr">
        <is>
          <t>FEC</t>
        </is>
      </c>
      <c r="J56" s="43" t="inlineStr"/>
      <c r="K56" s="43" t="inlineStr"/>
    </row>
    <row r="57">
      <c r="A57" s="75" t="inlineStr">
        <is>
          <t>Part d'achats locaux / France</t>
        </is>
      </c>
      <c r="F57" s="77">
        <f>M_ACHAT_LOCAL</f>
        <v/>
      </c>
      <c r="H57" s="58" t="inlineStr">
        <is>
          <t>%</t>
        </is>
      </c>
      <c r="I57" s="58" t="inlineStr">
        <is>
          <t>Saisie</t>
        </is>
      </c>
      <c r="J57" s="43" t="inlineStr"/>
      <c r="K57" s="43" t="inlineStr"/>
    </row>
    <row r="58">
      <c r="A58" s="75" t="inlineStr">
        <is>
          <t>Condamnations pour corruption</t>
        </is>
      </c>
      <c r="F58" s="78">
        <f>M_CONDAMNATIONS</f>
        <v/>
      </c>
      <c r="H58" s="58" t="inlineStr">
        <is>
          <t>nb</t>
        </is>
      </c>
      <c r="I58" s="58" t="inlineStr">
        <is>
          <t>Saisie</t>
        </is>
      </c>
      <c r="J58" s="43" t="inlineStr"/>
      <c r="K58" s="43" t="inlineStr"/>
    </row>
    <row r="59">
      <c r="A59" s="75" t="inlineStr">
        <is>
          <t>Amendes anti-corruption</t>
        </is>
      </c>
      <c r="F59" s="76">
        <f>M_AMENDES</f>
        <v/>
      </c>
      <c r="H59" s="58" t="inlineStr">
        <is>
          <t>€</t>
        </is>
      </c>
      <c r="I59" s="58" t="inlineStr">
        <is>
          <t>Saisie</t>
        </is>
      </c>
      <c r="J59" s="43" t="inlineStr"/>
      <c r="K59" s="43" t="inlineStr"/>
    </row>
    <row r="62" ht="23" customHeight="1">
      <c r="A62" s="41" t="inlineStr">
        <is>
          <t>VISUALISATIONS</t>
        </is>
      </c>
    </row>
    <row r="79">
      <c r="A79" s="79" t="inlineStr">
        <is>
          <t>Méthodologie : conversions par numéro de compte (feuille 10). Méthode PHYSIQUE = euros convertis en quantité (litres/kWh/m³) via un prix, puis en CO2 via un facteur d'émission. Méthode MONÉTAIRE = euros × ratio kgCO2e/€ (ADEME, indicatif). Le Scope 3 est partiel. Outil d'estimation et d'amorçage du dialogue, non un bilan carbone réglementaire.</t>
        </is>
      </c>
    </row>
    <row r="80"/>
  </sheetData>
  <mergeCells count="160">
    <mergeCell ref="A39:E39"/>
    <mergeCell ref="K49:L49"/>
    <mergeCell ref="A48:E48"/>
    <mergeCell ref="F29:G29"/>
    <mergeCell ref="F16:G16"/>
    <mergeCell ref="K24:L24"/>
    <mergeCell ref="F25:G25"/>
    <mergeCell ref="K33:L33"/>
    <mergeCell ref="A45:E45"/>
    <mergeCell ref="K26:L26"/>
    <mergeCell ref="K35:L35"/>
    <mergeCell ref="F15:G15"/>
    <mergeCell ref="D9:F9"/>
    <mergeCell ref="A37:E37"/>
    <mergeCell ref="A46:E46"/>
    <mergeCell ref="K58:L58"/>
    <mergeCell ref="A21:E21"/>
    <mergeCell ref="K52:L52"/>
    <mergeCell ref="A26:E26"/>
    <mergeCell ref="A57:E57"/>
    <mergeCell ref="F23:G23"/>
    <mergeCell ref="K42:L42"/>
    <mergeCell ref="G9:I9"/>
    <mergeCell ref="A23:E23"/>
    <mergeCell ref="F13:G13"/>
    <mergeCell ref="F56:G56"/>
    <mergeCell ref="F43:G43"/>
    <mergeCell ref="K53:L53"/>
    <mergeCell ref="A43:E43"/>
    <mergeCell ref="A52:E52"/>
    <mergeCell ref="A6:C6"/>
    <mergeCell ref="K28:L28"/>
    <mergeCell ref="K37:L37"/>
    <mergeCell ref="K13:L13"/>
    <mergeCell ref="F57:G57"/>
    <mergeCell ref="A34:E34"/>
    <mergeCell ref="G6:I6"/>
    <mergeCell ref="F54:G54"/>
    <mergeCell ref="K15:L15"/>
    <mergeCell ref="F19:G19"/>
    <mergeCell ref="F34:G34"/>
    <mergeCell ref="A49:E49"/>
    <mergeCell ref="A36:E36"/>
    <mergeCell ref="K55:L55"/>
    <mergeCell ref="A12:L12"/>
    <mergeCell ref="K21:L21"/>
    <mergeCell ref="A5:C5"/>
    <mergeCell ref="K32:L32"/>
    <mergeCell ref="F20:G20"/>
    <mergeCell ref="F18:G18"/>
    <mergeCell ref="F33:G33"/>
    <mergeCell ref="K41:L41"/>
    <mergeCell ref="F45:G45"/>
    <mergeCell ref="G4:I4"/>
    <mergeCell ref="F42:G42"/>
    <mergeCell ref="A4:C4"/>
    <mergeCell ref="F17:G17"/>
    <mergeCell ref="K56:L56"/>
    <mergeCell ref="A55:E55"/>
    <mergeCell ref="K43:L43"/>
    <mergeCell ref="F47:G47"/>
    <mergeCell ref="D5:F5"/>
    <mergeCell ref="K27:L27"/>
    <mergeCell ref="A31:L31"/>
    <mergeCell ref="F46:G46"/>
    <mergeCell ref="F28:G28"/>
    <mergeCell ref="A32:E32"/>
    <mergeCell ref="A14:E14"/>
    <mergeCell ref="K17:L17"/>
    <mergeCell ref="J5:L5"/>
    <mergeCell ref="F39:G39"/>
    <mergeCell ref="A29:E29"/>
    <mergeCell ref="F48:G48"/>
    <mergeCell ref="A38:E38"/>
    <mergeCell ref="G8:I8"/>
    <mergeCell ref="K19:L19"/>
    <mergeCell ref="A58:E58"/>
    <mergeCell ref="A40:E40"/>
    <mergeCell ref="K16:L16"/>
    <mergeCell ref="J6:L6"/>
    <mergeCell ref="K25:L25"/>
    <mergeCell ref="G10:I10"/>
    <mergeCell ref="A24:E24"/>
    <mergeCell ref="J4:L4"/>
    <mergeCell ref="K45:L45"/>
    <mergeCell ref="K54:L54"/>
    <mergeCell ref="F21:G21"/>
    <mergeCell ref="A2:L2"/>
    <mergeCell ref="K29:L29"/>
    <mergeCell ref="F53:G53"/>
    <mergeCell ref="A16:E16"/>
    <mergeCell ref="G5:I5"/>
    <mergeCell ref="K47:L47"/>
    <mergeCell ref="A25:E25"/>
    <mergeCell ref="K44:L44"/>
    <mergeCell ref="F36:G36"/>
    <mergeCell ref="K46:L46"/>
    <mergeCell ref="D8:F8"/>
    <mergeCell ref="K40:L40"/>
    <mergeCell ref="A79:L80"/>
    <mergeCell ref="A18:E18"/>
    <mergeCell ref="A42:E42"/>
    <mergeCell ref="A47:E47"/>
    <mergeCell ref="J8:L8"/>
    <mergeCell ref="F22:G22"/>
    <mergeCell ref="K23:L23"/>
    <mergeCell ref="A22:E22"/>
    <mergeCell ref="A20:E20"/>
    <mergeCell ref="J10:L10"/>
    <mergeCell ref="A51:L51"/>
    <mergeCell ref="A28:E28"/>
    <mergeCell ref="F49:G49"/>
    <mergeCell ref="K57:L57"/>
    <mergeCell ref="F14:G14"/>
    <mergeCell ref="A13:E13"/>
    <mergeCell ref="J9:L9"/>
    <mergeCell ref="A44:E44"/>
    <mergeCell ref="D6:F6"/>
    <mergeCell ref="K18:L18"/>
    <mergeCell ref="A59:E59"/>
    <mergeCell ref="K34:L34"/>
    <mergeCell ref="A15:E15"/>
    <mergeCell ref="K36:L36"/>
    <mergeCell ref="F40:G40"/>
    <mergeCell ref="F59:G59"/>
    <mergeCell ref="F55:G55"/>
    <mergeCell ref="K20:L20"/>
    <mergeCell ref="F24:G24"/>
    <mergeCell ref="A54:E54"/>
    <mergeCell ref="A8:C8"/>
    <mergeCell ref="D4:F4"/>
    <mergeCell ref="A41:E41"/>
    <mergeCell ref="F32:G32"/>
    <mergeCell ref="K22:L22"/>
    <mergeCell ref="F26:G26"/>
    <mergeCell ref="F41:G41"/>
    <mergeCell ref="A56:E56"/>
    <mergeCell ref="A27:E27"/>
    <mergeCell ref="F35:G35"/>
    <mergeCell ref="A62:L62"/>
    <mergeCell ref="A10:C10"/>
    <mergeCell ref="K59:L59"/>
    <mergeCell ref="F38:G38"/>
    <mergeCell ref="A33:E33"/>
    <mergeCell ref="A9:C9"/>
    <mergeCell ref="K39:L39"/>
    <mergeCell ref="K14:L14"/>
    <mergeCell ref="A17:E17"/>
    <mergeCell ref="F27:G27"/>
    <mergeCell ref="K48:L48"/>
    <mergeCell ref="F52:G52"/>
    <mergeCell ref="D10:F10"/>
    <mergeCell ref="F58:G58"/>
    <mergeCell ref="A53:E53"/>
    <mergeCell ref="F37:G37"/>
    <mergeCell ref="A35:E35"/>
    <mergeCell ref="K38:L38"/>
    <mergeCell ref="A1:L1"/>
    <mergeCell ref="A19:E19"/>
    <mergeCell ref="F44:G44"/>
  </mergeCells>
  <printOptions horizontalCentered="1"/>
  <pageMargins left="0.3" right="0.3" top="0.4" bottom="0.4" header="0.5" footer="0.5"/>
  <pageSetup orientation="landscape" fitToHeight="0" fitToWidth="1"/>
  <drawing xmlns:r="http://schemas.openxmlformats.org/officeDocument/2006/relationships" r:id="rId1"/>
</worksheet>
</file>

<file path=xl/worksheets/sheet4.xml><?xml version="1.0" encoding="utf-8"?>
<worksheet xmlns="http://schemas.openxmlformats.org/spreadsheetml/2006/main">
  <sheetPr>
    <tabColor rgb="005D6D7E"/>
    <outlinePr summaryBelow="1" summaryRight="1"/>
    <pageSetUpPr/>
  </sheetPr>
  <dimension ref="A1:R4"/>
  <sheetViews>
    <sheetView showGridLines="0" tabSelected="0" workbookViewId="0">
      <pane ySplit="4" topLeftCell="A5" activePane="bottomLeft" state="frozen"/>
      <selection pane="bottomLeft" activeCell="A1" sqref="A1"/>
    </sheetView>
  </sheetViews>
  <sheetFormatPr baseColWidth="8" defaultRowHeight="15"/>
  <cols>
    <col width="14" customWidth="1" min="1" max="1"/>
    <col width="14" customWidth="1" min="2" max="2"/>
    <col width="14" customWidth="1" min="3" max="3"/>
    <col width="14" customWidth="1" min="4" max="4"/>
    <col width="14" customWidth="1" min="5" max="5"/>
    <col width="14" customWidth="1" min="6" max="6"/>
    <col width="14" customWidth="1" min="7" max="7"/>
    <col width="1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s>
  <sheetData>
    <row r="1" ht="30" customHeight="1">
      <c r="A1" s="20" t="inlineStr">
        <is>
          <t>04 · FEC  —  données brutes (généré par le bouton Importer le FEC)</t>
        </is>
      </c>
    </row>
    <row r="2" ht="15" customHeight="1">
      <c r="A2" s="21" t="inlineStr">
        <is>
          <t>Cette feuille reçoit le Fichier des Écritures Comptables. Elle est remplie automatiquement par le bouton « Importer le FEC ».</t>
        </is>
      </c>
    </row>
    <row r="4" ht="26" customHeight="1">
      <c r="A4" s="80" t="inlineStr">
        <is>
          <t>JournalCode</t>
        </is>
      </c>
      <c r="B4" s="80" t="inlineStr">
        <is>
          <t>JournalLib</t>
        </is>
      </c>
      <c r="C4" s="80" t="inlineStr">
        <is>
          <t>EcritureNum</t>
        </is>
      </c>
      <c r="D4" s="80" t="inlineStr">
        <is>
          <t>EcritureDate</t>
        </is>
      </c>
      <c r="E4" s="80" t="inlineStr">
        <is>
          <t>CompteNum</t>
        </is>
      </c>
      <c r="F4" s="80" t="inlineStr">
        <is>
          <t>CompteLib</t>
        </is>
      </c>
      <c r="G4" s="80" t="inlineStr">
        <is>
          <t>CompAuxNum</t>
        </is>
      </c>
      <c r="H4" s="80" t="inlineStr">
        <is>
          <t>CompAuxLib</t>
        </is>
      </c>
      <c r="I4" s="80" t="inlineStr">
        <is>
          <t>PieceRef</t>
        </is>
      </c>
      <c r="J4" s="80" t="inlineStr">
        <is>
          <t>PieceDate</t>
        </is>
      </c>
      <c r="K4" s="80" t="inlineStr">
        <is>
          <t>EcritureLib</t>
        </is>
      </c>
      <c r="L4" s="80" t="inlineStr">
        <is>
          <t>Debit</t>
        </is>
      </c>
      <c r="M4" s="80" t="inlineStr">
        <is>
          <t>Credit</t>
        </is>
      </c>
      <c r="N4" s="80" t="inlineStr">
        <is>
          <t>EcritureLet</t>
        </is>
      </c>
      <c r="O4" s="80" t="inlineStr">
        <is>
          <t>DateLet</t>
        </is>
      </c>
      <c r="P4" s="80" t="inlineStr">
        <is>
          <t>ValidDate</t>
        </is>
      </c>
      <c r="Q4" s="80" t="inlineStr">
        <is>
          <t>Montantdevise</t>
        </is>
      </c>
      <c r="R4" s="80" t="inlineStr">
        <is>
          <t>Idevise</t>
        </is>
      </c>
    </row>
  </sheetData>
  <mergeCells count="2">
    <mergeCell ref="A2:R2"/>
    <mergeCell ref="A1:R1"/>
  </mergeCells>
  <pageMargins left="0.75" right="0.75" top="1" bottom="1" header="0.5" footer="0.5"/>
</worksheet>
</file>

<file path=xl/worksheets/sheet5.xml><?xml version="1.0" encoding="utf-8"?>
<worksheet xmlns="http://schemas.openxmlformats.org/spreadsheetml/2006/main">
  <sheetPr>
    <tabColor rgb="005D6D7E"/>
    <outlinePr summaryBelow="1" summaryRight="1"/>
    <pageSetUpPr/>
  </sheetPr>
  <dimension ref="A1:J4"/>
  <sheetViews>
    <sheetView showGridLines="0" tabSelected="0" workbookViewId="0">
      <pane ySplit="4" topLeftCell="A5" activePane="bottomLeft" state="frozen"/>
      <selection pane="bottomLeft" activeCell="A1" sqref="A1"/>
    </sheetView>
  </sheetViews>
  <sheetFormatPr baseColWidth="8" defaultRowHeight="15"/>
  <cols>
    <col width="10" customWidth="1" min="1" max="1"/>
    <col width="24" customWidth="1" min="2" max="2"/>
    <col width="20" customWidth="1" min="3" max="3"/>
    <col width="34" customWidth="1" min="4" max="4"/>
    <col width="26" customWidth="1" min="5" max="5"/>
  </cols>
  <sheetData>
    <row r="1" ht="30" customHeight="1">
      <c r="A1" s="20" t="inlineStr">
        <is>
          <t>05 · DSN  —  données brutes (généré par le bouton Importer les DSN)</t>
        </is>
      </c>
    </row>
    <row r="2" ht="15" customHeight="1">
      <c r="A2" s="21" t="inlineStr">
        <is>
          <t>Cette feuille reçoit les 12 DSN mensuelles (rubrique / valeur). Elle est remplie automatiquement par le bouton « Importer les DSN ».</t>
        </is>
      </c>
    </row>
    <row r="4" ht="20" customHeight="1">
      <c r="A4" s="81" t="inlineStr">
        <is>
          <t>Mois</t>
        </is>
      </c>
      <c r="B4" s="81" t="inlineStr">
        <is>
          <t>Fichier</t>
        </is>
      </c>
      <c r="C4" s="81" t="inlineStr">
        <is>
          <t>Rubrique</t>
        </is>
      </c>
      <c r="D4" s="81" t="inlineStr">
        <is>
          <t>Valeur</t>
        </is>
      </c>
      <c r="E4" s="81" t="inlineStr">
        <is>
          <t>Libellé</t>
        </is>
      </c>
    </row>
  </sheetData>
  <mergeCells count="2">
    <mergeCell ref="A1:J1"/>
    <mergeCell ref="A2:J2"/>
  </mergeCells>
  <pageMargins left="0.75" right="0.75" top="1" bottom="1" header="0.5" footer="0.5"/>
</worksheet>
</file>

<file path=xl/worksheets/sheet6.xml><?xml version="1.0" encoding="utf-8"?>
<worksheet xmlns="http://schemas.openxmlformats.org/spreadsheetml/2006/main">
  <sheetPr>
    <tabColor rgb="005D6D7E"/>
    <outlinePr summaryBelow="1" summaryRight="1"/>
    <pageSetUpPr/>
  </sheetPr>
  <dimension ref="A1:W5"/>
  <sheetViews>
    <sheetView showGridLines="0" tabSelected="0" workbookViewId="0">
      <pane xSplit="1" ySplit="4" topLeftCell="B5" activePane="bottomRight" state="frozen"/>
      <selection pane="topRight"/>
      <selection pane="bottomLeft"/>
      <selection pane="bottomRight" activeCell="A1" sqref="A1"/>
    </sheetView>
  </sheetViews>
  <sheetFormatPr baseColWidth="8" defaultRowHeight="15"/>
  <cols>
    <col width="11" customWidth="1" min="1" max="1"/>
    <col width="34" customWidth="1" min="2" max="2"/>
    <col width="6" customWidth="1" min="3" max="3"/>
    <col width="7" customWidth="1" min="4" max="4"/>
    <col width="13" customWidth="1" min="5" max="5"/>
    <col width="13" customWidth="1" min="6" max="6"/>
    <col width="13" customWidth="1" min="7" max="7"/>
    <col width="14" customWidth="1" min="8" max="8"/>
    <col width="13" customWidth="1" min="9" max="9"/>
    <col width="22" customWidth="1" min="10" max="10"/>
    <col width="14" customWidth="1" min="11" max="11"/>
    <col width="16" customWidth="1" min="12" max="12"/>
    <col width="7" customWidth="1" min="13" max="13"/>
    <col width="9" customWidth="1" min="14" max="14"/>
    <col width="7" customWidth="1" min="15" max="15"/>
    <col width="11" customWidth="1" min="16" max="16"/>
    <col width="9" customWidth="1" min="17" max="17"/>
    <col width="11" customWidth="1" min="18" max="18"/>
    <col width="10" customWidth="1" min="19" max="19"/>
    <col width="10" customWidth="1" min="20" max="20"/>
    <col width="13" customWidth="1" min="21" max="21"/>
    <col width="13" customWidth="1" min="22" max="22"/>
    <col width="12" customWidth="1" min="23" max="23"/>
  </cols>
  <sheetData>
    <row r="1" ht="30" customHeight="1">
      <c r="A1" s="20" t="inlineStr">
        <is>
          <t>06 · BALANCE ESG  —  générée automatiquement</t>
        </is>
      </c>
    </row>
    <row r="2" ht="15" customHeight="1">
      <c r="A2" s="21" t="inlineStr">
        <is>
          <t>Chaque compte du FEC est rattaché à un indicateur de durabilité par son NUMÉRO (préfixe le plus long de la feuille 10). Les colonnes vertes sont des formules vivantes : modifier un facteur en feuille 10 recalcule tout.</t>
        </is>
      </c>
    </row>
    <row r="4" ht="28" customHeight="1">
      <c r="A4" s="80" t="inlineStr">
        <is>
          <t>Compte</t>
        </is>
      </c>
      <c r="B4" s="80" t="inlineStr">
        <is>
          <t>Libellé du compte</t>
        </is>
      </c>
      <c r="C4" s="80" t="inlineStr">
        <is>
          <t>Cl.</t>
        </is>
      </c>
      <c r="D4" s="80" t="inlineStr">
        <is>
          <t>Préf2</t>
        </is>
      </c>
      <c r="E4" s="80" t="inlineStr">
        <is>
          <t>Débit</t>
        </is>
      </c>
      <c r="F4" s="80" t="inlineStr">
        <is>
          <t>Crédit</t>
        </is>
      </c>
      <c r="G4" s="80" t="inlineStr">
        <is>
          <t>Solde</t>
        </is>
      </c>
      <c r="H4" s="80" t="inlineStr">
        <is>
          <t>Montant</t>
        </is>
      </c>
      <c r="I4" s="82" t="inlineStr">
        <is>
          <t>Préfixe mappé</t>
        </is>
      </c>
      <c r="J4" s="83" t="inlineStr">
        <is>
          <t>Indicateur</t>
        </is>
      </c>
      <c r="K4" s="83" t="inlineStr">
        <is>
          <t>Pilier</t>
        </is>
      </c>
      <c r="L4" s="83" t="inlineStr">
        <is>
          <t>Thème</t>
        </is>
      </c>
      <c r="M4" s="83" t="inlineStr">
        <is>
          <t>ESRS</t>
        </is>
      </c>
      <c r="N4" s="83" t="inlineStr">
        <is>
          <t>Scope</t>
        </is>
      </c>
      <c r="O4" s="83" t="inlineStr">
        <is>
          <t>Unité</t>
        </is>
      </c>
      <c r="P4" s="83" t="inlineStr">
        <is>
          <t>Méthode</t>
        </is>
      </c>
      <c r="Q4" s="83" t="inlineStr">
        <is>
          <t>Type</t>
        </is>
      </c>
      <c r="R4" s="83" t="inlineStr">
        <is>
          <t>Fact. €→u</t>
        </is>
      </c>
      <c r="S4" s="83" t="inlineStr">
        <is>
          <t>FE phys.</t>
        </is>
      </c>
      <c r="T4" s="83" t="inlineStr">
        <is>
          <t>FE mon.</t>
        </is>
      </c>
      <c r="U4" s="84" t="inlineStr">
        <is>
          <t>Quantité</t>
        </is>
      </c>
      <c r="V4" s="84" t="inlineStr">
        <is>
          <t>Émissions kg</t>
        </is>
      </c>
      <c r="W4" s="84" t="inlineStr">
        <is>
          <t>tCO2e</t>
        </is>
      </c>
    </row>
    <row r="5">
      <c r="A5" s="85" t="n"/>
      <c r="B5" s="86" t="n"/>
      <c r="C5" s="87">
        <f>IF($A5="","",LEFT($A5,1))</f>
        <v/>
      </c>
      <c r="D5" s="87">
        <f>IF($A5="","",LEFT($A5,2))</f>
        <v/>
      </c>
      <c r="E5" s="88" t="n"/>
      <c r="F5" s="88" t="n"/>
      <c r="G5" s="89">
        <f>IF($A5="","",$E5-$F5)</f>
        <v/>
      </c>
      <c r="H5" s="89">
        <f>IF($A5="","",ABS($G5))</f>
        <v/>
      </c>
      <c r="I5" s="85" t="n"/>
      <c r="J5" s="90">
        <f>IF($I5="","",IFERROR(INDEX(P_IND,MATCH($I5,P_PREF,0)),""))</f>
        <v/>
      </c>
      <c r="K5" s="87">
        <f>IF($I5="","",IFERROR(INDEX(P_PIL,MATCH($I5,P_PREF,0)),""))</f>
        <v/>
      </c>
      <c r="L5" s="90">
        <f>IF($I5="","",IFERROR(INDEX(P_THE,MATCH($I5,P_PREF,0)),""))</f>
        <v/>
      </c>
      <c r="M5" s="87">
        <f>IF($I5="","",IFERROR(INDEX(P_ESRS,MATCH($I5,P_PREF,0)),""))</f>
        <v/>
      </c>
      <c r="N5" s="87">
        <f>IF($I5="","",IFERROR(INDEX(P_SCOPE,MATCH($I5,P_PREF,0)),""))</f>
        <v/>
      </c>
      <c r="O5" s="87">
        <f>IF($I5="","",IFERROR(INDEX(P_UNIT,MATCH($I5,P_PREF,0)),""))</f>
        <v/>
      </c>
      <c r="P5" s="87">
        <f>IF($I5="","",IFERROR(INDEX(P_METH,MATCH($I5,P_PREF,0)),""))</f>
        <v/>
      </c>
      <c r="Q5" s="87">
        <f>IF($I5="","",IFERROR(INDEX(P_TYPE,MATCH($I5,P_PREF,0)),""))</f>
        <v/>
      </c>
      <c r="R5" s="91">
        <f>IF($I5="","",IFERROR(INDEX(P_FEUR,MATCH($I5,P_PREF,0)),""))</f>
        <v/>
      </c>
      <c r="S5" s="91">
        <f>IF($I5="","",IFERROR(INDEX(P_FEPH,MATCH($I5,P_PREF,0)),""))</f>
        <v/>
      </c>
      <c r="T5" s="92">
        <f>IF($I5="","",IFERROR(INDEX(P_FEMO,MATCH($I5,P_PREF,0)),""))</f>
        <v/>
      </c>
      <c r="U5" s="93">
        <f>IF($P5="PHYSIQUE",IFERROR($H5*$R5,""),"")</f>
        <v/>
      </c>
      <c r="V5" s="93">
        <f>IF($P5="PHYSIQUE",IFERROR($U5*$S5,0),IF($P5="MONETAIRE",IFERROR($H5*$T5,0),0))</f>
        <v/>
      </c>
      <c r="W5" s="94">
        <f>IF($V5="","",IFERROR($V5/1000,0))</f>
        <v/>
      </c>
    </row>
  </sheetData>
  <mergeCells count="2">
    <mergeCell ref="A2:W2"/>
    <mergeCell ref="A1:W1"/>
  </mergeCells>
  <pageMargins left="0.75" right="0.75" top="1" bottom="1" header="0.5" footer="0.5"/>
</worksheet>
</file>

<file path=xl/worksheets/sheet7.xml><?xml version="1.0" encoding="utf-8"?>
<worksheet xmlns="http://schemas.openxmlformats.org/spreadsheetml/2006/main">
  <sheetPr>
    <tabColor rgb="005D6D7E"/>
    <outlinePr summaryBelow="1" summaryRight="1"/>
    <pageSetUpPr fitToPage="1"/>
  </sheetPr>
  <dimension ref="A1:N4"/>
  <sheetViews>
    <sheetView showGridLines="0" tabSelected="0" workbookViewId="0">
      <pane ySplit="4" topLeftCell="A5" activePane="bottomLeft" state="frozen"/>
      <selection pane="bottomLeft" activeCell="A1" sqref="A1"/>
    </sheetView>
  </sheetViews>
  <sheetFormatPr baseColWidth="8" defaultRowHeight="15"/>
  <cols>
    <col width="16" customWidth="1" min="1" max="1"/>
    <col width="11" customWidth="1" min="2" max="2"/>
    <col width="10" customWidth="1" min="3" max="3"/>
    <col width="10" customWidth="1" min="4" max="4"/>
    <col width="10" customWidth="1" min="5" max="5"/>
    <col width="9" customWidth="1" min="6" max="6"/>
    <col width="9" customWidth="1" min="7" max="7"/>
    <col width="11" customWidth="1" min="8" max="8"/>
    <col width="13" customWidth="1" min="9" max="9"/>
    <col width="12" customWidth="1" min="10" max="10"/>
    <col width="13" customWidth="1" min="11" max="11"/>
    <col width="14" customWidth="1" min="12" max="12"/>
    <col width="14" customWidth="1" min="13" max="13"/>
    <col width="13" customWidth="1" min="14" max="14"/>
  </cols>
  <sheetData>
    <row r="1" ht="30" customHeight="1">
      <c r="A1" s="20" t="inlineStr">
        <is>
          <t>07 · SYNTHÈSE SOCIALE  —  générée à partir des DSN</t>
        </is>
      </c>
    </row>
    <row r="2" ht="15" customHeight="1">
      <c r="A2" s="21" t="inlineStr">
        <is>
          <t>Une ligne par mois : effectif, femmes/hommes, ETP, CDI/CDD, âge, couverture conventionnelle, rémunération moyenne H/F et nombre de salariés au-dessus du SMIC. La masse salariale provient du FEC (compte 641).</t>
        </is>
      </c>
    </row>
    <row r="4" ht="24" customHeight="1">
      <c r="A4" s="80" t="inlineStr">
        <is>
          <t>Mois</t>
        </is>
      </c>
      <c r="B4" s="80" t="inlineStr">
        <is>
          <t>Effectif</t>
        </is>
      </c>
      <c r="C4" s="80" t="inlineStr">
        <is>
          <t>Hommes</t>
        </is>
      </c>
      <c r="D4" s="80" t="inlineStr">
        <is>
          <t>Femmes</t>
        </is>
      </c>
      <c r="E4" s="80" t="inlineStr">
        <is>
          <t>ETP</t>
        </is>
      </c>
      <c r="F4" s="80" t="inlineStr">
        <is>
          <t>CDI</t>
        </is>
      </c>
      <c r="G4" s="80" t="inlineStr">
        <is>
          <t>CDD</t>
        </is>
      </c>
      <c r="H4" s="80" t="inlineStr">
        <is>
          <t>Âge moyen</t>
        </is>
      </c>
      <c r="I4" s="80" t="inlineStr">
        <is>
          <t>Nb lignes DSN</t>
        </is>
      </c>
      <c r="J4" s="80" t="inlineStr">
        <is>
          <t>Méthode</t>
        </is>
      </c>
      <c r="K4" s="80" t="inlineStr">
        <is>
          <t>% conv. collective</t>
        </is>
      </c>
      <c r="L4" s="80" t="inlineStr">
        <is>
          <t>Rém. moy. H (€)</t>
        </is>
      </c>
      <c r="M4" s="80" t="inlineStr">
        <is>
          <t>Rém. moy. F (€)</t>
        </is>
      </c>
      <c r="N4" s="80" t="inlineStr">
        <is>
          <t>Salariés ≥ SMIC</t>
        </is>
      </c>
    </row>
  </sheetData>
  <mergeCells count="2">
    <mergeCell ref="A2:N2"/>
    <mergeCell ref="A1:N1"/>
  </mergeCells>
  <printOptions horizontalCentered="1"/>
  <pageMargins left="0.3" right="0.3" top="0.4" bottom="0.4" header="0.5" footer="0.5"/>
  <pageSetup orientation="landscape" fitToHeight="0" fitToWidth="1"/>
</worksheet>
</file>

<file path=xl/worksheets/sheet8.xml><?xml version="1.0" encoding="utf-8"?>
<worksheet xmlns="http://schemas.openxmlformats.org/spreadsheetml/2006/main">
  <sheetPr>
    <tabColor rgb="005D6D7E"/>
    <outlinePr summaryBelow="1" summaryRight="1"/>
    <pageSetUpPr fitToPage="1"/>
  </sheetPr>
  <dimension ref="A1:F65"/>
  <sheetViews>
    <sheetView showGridLines="0" tabSelected="0" workbookViewId="0">
      <selection activeCell="A1" sqref="A1"/>
    </sheetView>
  </sheetViews>
  <sheetFormatPr baseColWidth="8" defaultRowHeight="15"/>
  <cols>
    <col width="40" customWidth="1" min="1" max="1"/>
    <col width="4" customWidth="1" min="2" max="2"/>
    <col width="18" customWidth="1" min="3" max="3"/>
    <col width="4" customWidth="1" min="4" max="4"/>
    <col width="22" customWidth="1" min="5" max="5"/>
    <col width="16" customWidth="1" min="6" max="6"/>
  </cols>
  <sheetData>
    <row r="1" ht="30" customHeight="1">
      <c r="A1" s="20" t="inlineStr">
        <is>
          <t>08 · CONTRÔLES &amp; AGRÉGATS  —  calculs intermédiaires</t>
        </is>
      </c>
    </row>
    <row r="2" ht="15" customHeight="1">
      <c r="A2" s="21" t="inlineStr">
        <is>
          <t>Vérifications de cohérence de l'import et calculs qui alimentent le tableau de bord. Feuille technique : rien à saisir ici.</t>
        </is>
      </c>
    </row>
    <row r="4" ht="23" customHeight="1">
      <c r="A4" s="22" t="inlineStr">
        <is>
          <t>1 · Contrôles de cohérence de l'import</t>
        </is>
      </c>
    </row>
    <row r="5">
      <c r="A5" s="27" t="inlineStr">
        <is>
          <t>Lignes comptables importées (FEC)</t>
        </is>
      </c>
      <c r="C5" s="95">
        <f>COUNTIF(BG_CPT,"&lt;&gt;")</f>
        <v/>
      </c>
    </row>
    <row r="6">
      <c r="A6" s="27" t="inlineStr">
        <is>
          <t>Total des débits</t>
        </is>
      </c>
      <c r="C6" s="96">
        <f>SUM('06_BALANCE_ESG'!E5:E5004)</f>
        <v/>
      </c>
    </row>
    <row r="7">
      <c r="A7" s="27" t="inlineStr">
        <is>
          <t>Total des crédits</t>
        </is>
      </c>
      <c r="C7" s="96">
        <f>SUM('06_BALANCE_ESG'!F5:F5004)</f>
        <v/>
      </c>
    </row>
    <row r="8">
      <c r="A8" s="27" t="inlineStr">
        <is>
          <t>Écart débit / crédit (doit être ≈ 0)</t>
        </is>
      </c>
      <c r="C8" s="97">
        <f>SUM('06_BALANCE_ESG'!E5:E5004)-SUM('06_BALANCE_ESG'!F5:F5004)</f>
        <v/>
      </c>
    </row>
    <row r="9">
      <c r="A9" s="27" t="inlineStr">
        <is>
          <t>Comptes sans correspondance ESG</t>
        </is>
      </c>
      <c r="C9" s="95">
        <f>COUNTIFS(BG_CPT,"&lt;&gt;",BG_INDIC,"")</f>
        <v/>
      </c>
    </row>
    <row r="10">
      <c r="A10" s="27" t="inlineStr">
        <is>
          <t>Montant non rattaché (à vérifier en feuille 10)</t>
        </is>
      </c>
      <c r="C10" s="96">
        <f>SUMIFS(BG_MONTANT,BG_INDIC,"")</f>
        <v/>
      </c>
    </row>
    <row r="11">
      <c r="A11" s="27" t="inlineStr">
        <is>
          <t>Mois de DSN détectés</t>
        </is>
      </c>
      <c r="C11" s="95">
        <f>COUNTIF(D_EFF,"&gt;0")</f>
        <v/>
      </c>
    </row>
    <row r="13" ht="23" customHeight="1">
      <c r="A13" s="22" t="inlineStr">
        <is>
          <t>2 · Agrégats (cellules nommées utilisées par le tableau de bord)</t>
        </is>
      </c>
    </row>
    <row r="14">
      <c r="A14" s="27" t="inlineStr">
        <is>
          <t>Chiffre d'affaires (produits classe 70)</t>
        </is>
      </c>
      <c r="C14" s="98">
        <f>SUMIFS(BG_MONTANT,BG_PREF2,"70")</f>
        <v/>
      </c>
    </row>
    <row r="15">
      <c r="A15" s="27" t="inlineStr">
        <is>
          <t>Produits d'exploitation (classe 7)</t>
        </is>
      </c>
      <c r="C15" s="98">
        <f>SUMIFS(BG_MONTANT,BG_CLASSE,"7")</f>
        <v/>
      </c>
    </row>
    <row r="16">
      <c r="A16" s="27" t="inlineStr">
        <is>
          <t>Charges d'exploitation (classe 6)</t>
        </is>
      </c>
      <c r="C16" s="98">
        <f>SUMIFS(BG_MONTANT,BG_CLASSE,"6")</f>
        <v/>
      </c>
    </row>
    <row r="17">
      <c r="A17" s="27" t="inlineStr">
        <is>
          <t>Émissions Scope 1 (tCO2e)</t>
        </is>
      </c>
      <c r="C17" s="99">
        <f>SUMIFS(BG_TCO2,BG_SCOPE,"Scope 1")</f>
        <v/>
      </c>
    </row>
    <row r="18">
      <c r="A18" s="27" t="inlineStr">
        <is>
          <t>Émissions Scope 2 (tCO2e)</t>
        </is>
      </c>
      <c r="C18" s="99">
        <f>SUMIFS(BG_TCO2,BG_SCOPE,"Scope 2")</f>
        <v/>
      </c>
    </row>
    <row r="19">
      <c r="A19" s="27" t="inlineStr">
        <is>
          <t>Émissions Scope 3 (tCO2e)</t>
        </is>
      </c>
      <c r="C19" s="99">
        <f>SUMIFS(BG_TCO2,BG_SCOPE,"Scope 3")</f>
        <v/>
      </c>
    </row>
    <row r="20">
      <c r="A20" s="27" t="inlineStr">
        <is>
          <t>Émissions totales (tCO2e)</t>
        </is>
      </c>
      <c r="C20" s="99">
        <f>GES1+GES2+GES3</f>
        <v/>
      </c>
    </row>
    <row r="21">
      <c r="A21" s="27" t="inlineStr">
        <is>
          <t>Électricité (kWh)</t>
        </is>
      </c>
      <c r="C21" s="100">
        <f>SUMIFS(BG_QTE,BG_INDIC,"Électricité")</f>
        <v/>
      </c>
    </row>
    <row r="22">
      <c r="A22" s="27" t="inlineStr">
        <is>
          <t>Gaz / chauffage (kWh)</t>
        </is>
      </c>
      <c r="C22" s="100">
        <f>SUMIFS(BG_QTE,BG_INDIC,"Gaz / chauffage")</f>
        <v/>
      </c>
    </row>
    <row r="23">
      <c r="A23" s="27" t="inlineStr">
        <is>
          <t>Réseau chaleur (kWh)</t>
        </is>
      </c>
      <c r="C23" s="100">
        <f>SUMIFS(BG_QTE,BG_INDIC,"Réseau chaleur / froid")</f>
        <v/>
      </c>
    </row>
    <row r="24">
      <c r="A24" s="27" t="inlineStr">
        <is>
          <t>Énergie totale (kWh)</t>
        </is>
      </c>
      <c r="C24" s="100">
        <f>ENER_ELEC+ENER_GAZ+ENER_CHAL</f>
        <v/>
      </c>
    </row>
    <row r="25">
      <c r="A25" s="27" t="inlineStr">
        <is>
          <t>Eau estimée via FEC (m³)</t>
        </is>
      </c>
      <c r="C25" s="101">
        <f>SUMIFS(BG_QTE,BG_INDIC,"Eau")</f>
        <v/>
      </c>
    </row>
    <row r="26">
      <c r="A26" s="27" t="inlineStr">
        <is>
          <t>Eau retenue (m³)</t>
        </is>
      </c>
      <c r="C26" s="101">
        <f>IF(M_EAU_M3&gt;0,M_EAU_M3,EAU_AUTO)</f>
        <v/>
      </c>
    </row>
    <row r="27">
      <c r="A27" s="27" t="inlineStr">
        <is>
          <t>Prélèvements d'eau retenus (m³)</t>
        </is>
      </c>
      <c r="C27" s="101">
        <f>IF(M_EAU_PRELEV&gt;0,M_EAU_PRELEV,EAU_M3)</f>
        <v/>
      </c>
    </row>
    <row r="28">
      <c r="A28" s="27" t="inlineStr">
        <is>
          <t>Déchets (t)</t>
        </is>
      </c>
      <c r="C28" s="102">
        <f>M_DECHET_T</f>
        <v/>
      </c>
    </row>
    <row r="29">
      <c r="A29" s="27" t="inlineStr">
        <is>
          <t>Scope 1 retenu (déclaré sinon estimé)</t>
        </is>
      </c>
      <c r="C29" s="99">
        <f>IF(M_SCOPE1_DECL&gt;0,M_SCOPE1_DECL,GES1)</f>
        <v/>
      </c>
    </row>
    <row r="30">
      <c r="A30" s="27" t="inlineStr">
        <is>
          <t>Scope 2 retenu (déclaré sinon estimé)</t>
        </is>
      </c>
      <c r="C30" s="99">
        <f>IF(M_SCOPE2_DECL&gt;0,M_SCOPE2_DECL,GES2)</f>
        <v/>
      </c>
    </row>
    <row r="31">
      <c r="A31" s="27" t="inlineStr">
        <is>
          <t>Émissions retenues (tCO2e)</t>
        </is>
      </c>
      <c r="C31" s="99">
        <f>SCOPE1_RET+SCOPE2_RET+GES3</f>
        <v/>
      </c>
    </row>
    <row r="32">
      <c r="A32" s="27" t="inlineStr">
        <is>
          <t>Énergie retenue (MWh)</t>
        </is>
      </c>
      <c r="C32" s="103">
        <f>IF(M_ENERGIE_DECL&gt;0,M_ENERGIE_DECL,ENER_TOT/1000)</f>
        <v/>
      </c>
    </row>
    <row r="33">
      <c r="A33" s="27" t="inlineStr">
        <is>
          <t>Masse salariale brute (641)</t>
        </is>
      </c>
      <c r="C33" s="98">
        <f>SUMIFS(BG_MONTANT,BG_CPT,"641*")</f>
        <v/>
      </c>
    </row>
    <row r="34">
      <c r="A34" s="27" t="inlineStr">
        <is>
          <t>Charges sociales (645)</t>
        </is>
      </c>
      <c r="C34" s="98">
        <f>SUMIFS(BG_MONTANT,BG_CPT,"645*")</f>
        <v/>
      </c>
    </row>
    <row r="35">
      <c r="A35" s="27" t="inlineStr">
        <is>
          <t>Dépenses de pilotage ESG</t>
        </is>
      </c>
      <c r="C35" s="98">
        <f>SUMIFS(BG_MONTANT,BG_THEME,"Pilotage ESG")</f>
        <v/>
      </c>
    </row>
    <row r="36">
      <c r="A36" s="27" t="inlineStr">
        <is>
          <t>Dons &amp; mécénat</t>
        </is>
      </c>
      <c r="C36" s="98">
        <f>SUMIFS(BG_MONTANT,BG_THEME,"Communauté")</f>
        <v/>
      </c>
    </row>
    <row r="37">
      <c r="A37" s="27" t="inlineStr">
        <is>
          <t>Contribution fiscale (impôts/taxes)</t>
        </is>
      </c>
      <c r="C37" s="98">
        <f>SUMIFS(BG_MONTANT,BG_THEME,"Fiscalité")</f>
        <v/>
      </c>
    </row>
    <row r="38">
      <c r="A38" s="27" t="inlineStr">
        <is>
          <t>Effectif moyen</t>
        </is>
      </c>
      <c r="C38" s="104">
        <f>IFERROR(AVERAGEIFS(D_EFF,D_EFF,"&gt;0"),0)</f>
        <v/>
      </c>
    </row>
    <row r="39">
      <c r="A39" s="27" t="inlineStr">
        <is>
          <t>ETP moyen</t>
        </is>
      </c>
      <c r="C39" s="104">
        <f>IFERROR(AVERAGEIFS(D_ETP,D_ETP,"&gt;0"),0)</f>
        <v/>
      </c>
    </row>
    <row r="40">
      <c r="A40" s="27" t="inlineStr">
        <is>
          <t>Hommes (moyenne)</t>
        </is>
      </c>
      <c r="C40" s="104">
        <f>IFERROR(AVERAGEIFS(D_H,D_H,"&gt;0"),0)</f>
        <v/>
      </c>
    </row>
    <row r="41">
      <c r="A41" s="27" t="inlineStr">
        <is>
          <t>Femmes (moyenne)</t>
        </is>
      </c>
      <c r="C41" s="104">
        <f>IFERROR(AVERAGEIFS(D_F,D_F,"&gt;0"),0)</f>
        <v/>
      </c>
    </row>
    <row r="42">
      <c r="A42" s="27" t="inlineStr">
        <is>
          <t>Taux de féminisation</t>
        </is>
      </c>
      <c r="C42" s="105">
        <f>IFERROR(F_AVG/(F_AVG+H_AVG),0)</f>
        <v/>
      </c>
    </row>
    <row r="43">
      <c r="A43" s="27" t="inlineStr">
        <is>
          <t>CDI (moyenne)</t>
        </is>
      </c>
      <c r="C43" s="104">
        <f>IFERROR(AVERAGEIFS(D_CDI,D_CDI,"&gt;0"),0)</f>
        <v/>
      </c>
    </row>
    <row r="44">
      <c r="A44" s="27" t="inlineStr">
        <is>
          <t>CDD (moyenne)</t>
        </is>
      </c>
      <c r="C44" s="104">
        <f>IFERROR(AVERAGEIFS(D_CDD,D_CDD,"&gt;0"),0)</f>
        <v/>
      </c>
    </row>
    <row r="45">
      <c r="A45" s="27" t="inlineStr">
        <is>
          <t>Part de CDI</t>
        </is>
      </c>
      <c r="C45" s="105">
        <f>IFERROR(CDI_AVG/(CDI_AVG+CDD_AVG),0)</f>
        <v/>
      </c>
    </row>
    <row r="46">
      <c r="A46" s="27" t="inlineStr">
        <is>
          <t>Âge moyen</t>
        </is>
      </c>
      <c r="C46" s="106">
        <f>IFERROR(AVERAGEIFS(D_AGE,D_AGE,"&gt;0"),0)</f>
        <v/>
      </c>
    </row>
    <row r="47">
      <c r="A47" s="27" t="inlineStr">
        <is>
          <t>Couverture conventionnelle</t>
        </is>
      </c>
      <c r="C47" s="105">
        <f>IFERROR(AVERAGEIFS(D_CONV,D_EFF,"&gt;0"),0)</f>
        <v/>
      </c>
    </row>
    <row r="48">
      <c r="A48" s="27" t="inlineStr">
        <is>
          <t>Rémunération moyenne hommes (€)</t>
        </is>
      </c>
      <c r="C48" s="98">
        <f>IFERROR(AVERAGEIFS(D_REMH,D_REMH,"&gt;0"),0)</f>
        <v/>
      </c>
    </row>
    <row r="49">
      <c r="A49" s="27" t="inlineStr">
        <is>
          <t>Rémunération moyenne femmes (€)</t>
        </is>
      </c>
      <c r="C49" s="98">
        <f>IFERROR(AVERAGEIFS(D_REMF,D_REMF,"&gt;0"),0)</f>
        <v/>
      </c>
    </row>
    <row r="50">
      <c r="A50" s="27" t="inlineStr">
        <is>
          <t>Écart de rémunération F/H</t>
        </is>
      </c>
      <c r="C50" s="105">
        <f>IFERROR((REMH-REMF)/REMH,0)</f>
        <v/>
      </c>
    </row>
    <row r="51">
      <c r="A51" s="27" t="inlineStr">
        <is>
          <t>Salariés ≥ SMIC (moyenne)</t>
        </is>
      </c>
      <c r="C51" s="104">
        <f>IFERROR(AVERAGEIFS(D_SMIC,D_EFF,"&gt;0"),0)</f>
        <v/>
      </c>
    </row>
    <row r="52">
      <c r="A52" s="27" t="inlineStr">
        <is>
          <t>Part de salariés ≥ SMIC</t>
        </is>
      </c>
      <c r="C52" s="105">
        <f>IFERROR(NSMIC_AVG/EFF,0)</f>
        <v/>
      </c>
    </row>
    <row r="54" ht="23" customHeight="1">
      <c r="A54" s="22" t="inlineStr">
        <is>
          <t>3 · Données des graphiques</t>
        </is>
      </c>
    </row>
    <row r="55">
      <c r="A55" s="81" t="inlineStr">
        <is>
          <t>Répartition</t>
        </is>
      </c>
      <c r="C55" s="81" t="inlineStr">
        <is>
          <t>tCO2e</t>
        </is>
      </c>
    </row>
    <row r="56">
      <c r="A56" s="107" t="inlineStr">
        <is>
          <t>Scope 1</t>
        </is>
      </c>
      <c r="C56" s="108">
        <f>SCOPE1_RET</f>
        <v/>
      </c>
    </row>
    <row r="57">
      <c r="A57" s="107" t="inlineStr">
        <is>
          <t>Scope 2</t>
        </is>
      </c>
      <c r="C57" s="108">
        <f>SCOPE2_RET</f>
        <v/>
      </c>
    </row>
    <row r="58">
      <c r="A58" s="107" t="inlineStr">
        <is>
          <t>Scope 3</t>
        </is>
      </c>
      <c r="C58" s="108">
        <f>GES3</f>
        <v/>
      </c>
    </row>
    <row r="60">
      <c r="A60" s="81" t="inlineStr">
        <is>
          <t>Thème (environnement)</t>
        </is>
      </c>
      <c r="C60" s="81" t="inlineStr">
        <is>
          <t>tCO2e</t>
        </is>
      </c>
    </row>
    <row r="61">
      <c r="A61" s="107" t="inlineStr">
        <is>
          <t>Énergie</t>
        </is>
      </c>
      <c r="C61" s="108">
        <f>SUMIFS(BG_TCO2,BG_THEME,"Énergie")</f>
        <v/>
      </c>
    </row>
    <row r="62">
      <c r="A62" s="107" t="inlineStr">
        <is>
          <t>Mobilité</t>
        </is>
      </c>
      <c r="C62" s="108">
        <f>SUMIFS(BG_TCO2,BG_THEME,"Mobilité")</f>
        <v/>
      </c>
    </row>
    <row r="63">
      <c r="A63" s="107" t="inlineStr">
        <is>
          <t>Numérique</t>
        </is>
      </c>
      <c r="C63" s="108">
        <f>SUMIFS(BG_TCO2,BG_THEME,"Numérique")</f>
        <v/>
      </c>
    </row>
    <row r="64">
      <c r="A64" s="107" t="inlineStr">
        <is>
          <t>Achats</t>
        </is>
      </c>
      <c r="C64" s="108">
        <f>SUMIFS(BG_TCO2,BG_THEME,"Achats")</f>
        <v/>
      </c>
    </row>
    <row r="65">
      <c r="A65" s="107" t="inlineStr">
        <is>
          <t>Déchets</t>
        </is>
      </c>
      <c r="C65" s="108">
        <f>SUMIFS(BG_TCO2,BG_THEME,"Déchets")</f>
        <v/>
      </c>
    </row>
  </sheetData>
  <mergeCells count="5">
    <mergeCell ref="A2:F2"/>
    <mergeCell ref="A54:F54"/>
    <mergeCell ref="A13:F13"/>
    <mergeCell ref="A1:F1"/>
    <mergeCell ref="A4:F4"/>
  </mergeCells>
  <printOptions horizontalCentered="1"/>
  <pageMargins left="0.3" right="0.3" top="0.4" bottom="0.4" header="0.5" footer="0.5"/>
  <pageSetup orientation="landscape" fitToHeight="0" fitToWidth="1"/>
</worksheet>
</file>

<file path=xl/worksheets/sheet9.xml><?xml version="1.0" encoding="utf-8"?>
<worksheet xmlns="http://schemas.openxmlformats.org/spreadsheetml/2006/main">
  <sheetPr>
    <tabColor rgb="001565C0"/>
    <outlinePr summaryBelow="1" summaryRight="1"/>
    <pageSetUpPr fitToPage="1"/>
  </sheetPr>
  <dimension ref="A1:N143"/>
  <sheetViews>
    <sheetView showGridLines="0" tabSelected="0" workbookViewId="0">
      <pane ySplit="26" topLeftCell="A27" activePane="bottomLeft" state="frozen"/>
      <selection pane="bottomLeft" activeCell="A1" sqref="A1"/>
    </sheetView>
  </sheetViews>
  <sheetFormatPr baseColWidth="8" defaultRowHeight="15"/>
  <cols>
    <col width="16" customWidth="1" min="1" max="1"/>
    <col width="30" customWidth="1" min="2" max="2"/>
    <col width="13" customWidth="1" min="3" max="3"/>
    <col width="15" customWidth="1" min="4" max="4"/>
    <col width="8" customWidth="1" min="5" max="5"/>
    <col width="11" customWidth="1" min="6" max="6"/>
    <col width="9" customWidth="1" min="7" max="7"/>
    <col width="12" customWidth="1" min="8" max="8"/>
    <col width="12" customWidth="1" min="9" max="9"/>
    <col width="15" customWidth="1" min="10" max="10"/>
    <col width="17" customWidth="1" min="11" max="11"/>
    <col width="17" customWidth="1" min="12" max="12"/>
    <col width="34" customWidth="1" min="13" max="13"/>
    <col width="30" customWidth="1" min="14" max="14"/>
  </cols>
  <sheetData>
    <row r="1" ht="30" customHeight="1">
      <c r="A1" s="20" t="inlineStr">
        <is>
          <t>09 · PARAMÈTRES &amp; SOURCES  —  moteur de conversion</t>
        </is>
      </c>
    </row>
    <row r="2" ht="15" customHeight="1">
      <c r="A2" s="21" t="inlineStr">
        <is>
          <t>Toute la transformation des données s'appuie sur cette feuille. Cellules jaunes = modifiables. La conversion se fait par NUMÉRO DE COMPTE (préfixe le plus long).</t>
        </is>
      </c>
    </row>
    <row r="4" ht="23" customHeight="1">
      <c r="A4" s="29" t="inlineStr">
        <is>
          <t>1 · TARIFS UNITAIRES — pilotent la conversion € → unité physique (litre, kWh, m³)</t>
        </is>
      </c>
    </row>
    <row r="5">
      <c r="A5" s="109" t="inlineStr">
        <is>
          <t>Clé</t>
        </is>
      </c>
      <c r="B5" s="109" t="inlineStr">
        <is>
          <t>Libellé</t>
        </is>
      </c>
      <c r="C5" s="109" t="inlineStr">
        <is>
          <t>Valeur</t>
        </is>
      </c>
      <c r="D5" s="109" t="inlineStr">
        <is>
          <t>Unité</t>
        </is>
      </c>
      <c r="E5" s="109" t="inlineStr">
        <is>
          <t>Type</t>
        </is>
      </c>
      <c r="F5" s="109" t="inlineStr">
        <is>
          <t>Source</t>
        </is>
      </c>
      <c r="G5" s="109" t="inlineStr">
        <is>
          <t>Date MAJ</t>
        </is>
      </c>
      <c r="H5" s="109" t="inlineStr">
        <is>
          <t>URL</t>
        </is>
      </c>
    </row>
    <row r="6">
      <c r="A6" s="110" t="inlineStr">
        <is>
          <t>PRIX_ELEC</t>
        </is>
      </c>
      <c r="B6" s="107" t="inlineStr">
        <is>
          <t>Prix électricité</t>
        </is>
      </c>
      <c r="C6" s="111" t="n">
        <v>0.25</v>
      </c>
      <c r="D6" s="112" t="inlineStr">
        <is>
          <t>€/kWh</t>
        </is>
      </c>
      <c r="E6" s="87" t="inlineStr">
        <is>
          <t>VARIABLE</t>
        </is>
      </c>
      <c r="F6" s="113" t="inlineStr">
        <is>
          <t>Tarif moyen pro France (indicatif)</t>
        </is>
      </c>
      <c r="G6" s="87" t="inlineStr">
        <is>
          <t>2026</t>
        </is>
      </c>
      <c r="H6" s="114" t="inlineStr">
        <is>
          <t>https://www.cre.fr/</t>
        </is>
      </c>
    </row>
    <row r="7">
      <c r="A7" s="110" t="inlineStr">
        <is>
          <t>PRIX_GAZ</t>
        </is>
      </c>
      <c r="B7" s="107" t="inlineStr">
        <is>
          <t>Prix gaz naturel</t>
        </is>
      </c>
      <c r="C7" s="111" t="n">
        <v>0.11</v>
      </c>
      <c r="D7" s="112" t="inlineStr">
        <is>
          <t>€/kWh</t>
        </is>
      </c>
      <c r="E7" s="87" t="inlineStr">
        <is>
          <t>VARIABLE</t>
        </is>
      </c>
      <c r="F7" s="113" t="inlineStr">
        <is>
          <t>Tarif moyen pro France (indicatif)</t>
        </is>
      </c>
      <c r="G7" s="87" t="inlineStr">
        <is>
          <t>2026</t>
        </is>
      </c>
      <c r="H7" s="114" t="inlineStr">
        <is>
          <t>https://www.cre.fr/</t>
        </is>
      </c>
    </row>
    <row r="8">
      <c r="A8" s="110" t="inlineStr">
        <is>
          <t>PRIX_CHALEUR</t>
        </is>
      </c>
      <c r="B8" s="107" t="inlineStr">
        <is>
          <t>Prix réseau chaleur/froid</t>
        </is>
      </c>
      <c r="C8" s="111" t="n">
        <v>0.1</v>
      </c>
      <c r="D8" s="112" t="inlineStr">
        <is>
          <t>€/kWh</t>
        </is>
      </c>
      <c r="E8" s="87" t="inlineStr">
        <is>
          <t>VARIABLE</t>
        </is>
      </c>
      <c r="F8" s="113" t="inlineStr">
        <is>
          <t>Tarif moyen réseaux (indicatif)</t>
        </is>
      </c>
      <c r="G8" s="87" t="inlineStr">
        <is>
          <t>2026</t>
        </is>
      </c>
      <c r="H8" s="114" t="inlineStr">
        <is>
          <t>https://www.fedene.fr/</t>
        </is>
      </c>
    </row>
    <row r="9">
      <c r="A9" s="110" t="inlineStr">
        <is>
          <t>PRIX_EAU</t>
        </is>
      </c>
      <c r="B9" s="107" t="inlineStr">
        <is>
          <t>Prix de l'eau</t>
        </is>
      </c>
      <c r="C9" s="111" t="n">
        <v>4.3</v>
      </c>
      <c r="D9" s="112" t="inlineStr">
        <is>
          <t>€/m³</t>
        </is>
      </c>
      <c r="E9" s="87" t="inlineStr">
        <is>
          <t>VARIABLE</t>
        </is>
      </c>
      <c r="F9" s="113" t="inlineStr">
        <is>
          <t>Prix moyen eau France (indicatif)</t>
        </is>
      </c>
      <c r="G9" s="87" t="inlineStr">
        <is>
          <t>2026</t>
        </is>
      </c>
      <c r="H9" s="114" t="inlineStr">
        <is>
          <t>https://www.services.eaufrance.fr/</t>
        </is>
      </c>
    </row>
    <row r="10">
      <c r="A10" s="110" t="inlineStr">
        <is>
          <t>PRIX_GAZOLE</t>
        </is>
      </c>
      <c r="B10" s="107" t="inlineStr">
        <is>
          <t>Prix gazole (diesel)</t>
        </is>
      </c>
      <c r="C10" s="111" t="n">
        <v>1.75</v>
      </c>
      <c r="D10" s="112" t="inlineStr">
        <is>
          <t>€/L</t>
        </is>
      </c>
      <c r="E10" s="87" t="inlineStr">
        <is>
          <t>VARIABLE</t>
        </is>
      </c>
      <c r="F10" s="113" t="inlineStr">
        <is>
          <t>Prix moyen à la pompe (indicatif)</t>
        </is>
      </c>
      <c r="G10" s="87" t="inlineStr">
        <is>
          <t>2026</t>
        </is>
      </c>
      <c r="H10" s="114" t="inlineStr">
        <is>
          <t>https://www.prix-carburants.gouv.fr/</t>
        </is>
      </c>
    </row>
    <row r="11">
      <c r="A11" s="110" t="inlineStr">
        <is>
          <t>PRIX_SP95</t>
        </is>
      </c>
      <c r="B11" s="107" t="inlineStr">
        <is>
          <t>Prix essence SP95-E10</t>
        </is>
      </c>
      <c r="C11" s="111" t="n">
        <v>1.85</v>
      </c>
      <c r="D11" s="112" t="inlineStr">
        <is>
          <t>€/L</t>
        </is>
      </c>
      <c r="E11" s="87" t="inlineStr">
        <is>
          <t>VARIABLE</t>
        </is>
      </c>
      <c r="F11" s="113" t="inlineStr">
        <is>
          <t>Prix moyen à la pompe (indicatif)</t>
        </is>
      </c>
      <c r="G11" s="87" t="inlineStr">
        <is>
          <t>2026</t>
        </is>
      </c>
      <c r="H11" s="114" t="inlineStr">
        <is>
          <t>https://www.prix-carburants.gouv.fr/</t>
        </is>
      </c>
    </row>
    <row r="12">
      <c r="A12" s="110" t="inlineStr">
        <is>
          <t>PRIX_GNR</t>
        </is>
      </c>
      <c r="B12" s="107" t="inlineStr">
        <is>
          <t>Prix GNR / fioul</t>
        </is>
      </c>
      <c r="C12" s="111" t="n">
        <v>1.2</v>
      </c>
      <c r="D12" s="112" t="inlineStr">
        <is>
          <t>€/L</t>
        </is>
      </c>
      <c r="E12" s="87" t="inlineStr">
        <is>
          <t>VARIABLE</t>
        </is>
      </c>
      <c r="F12" s="113" t="inlineStr">
        <is>
          <t>Prix moyen (indicatif)</t>
        </is>
      </c>
      <c r="G12" s="87" t="inlineStr">
        <is>
          <t>2026</t>
        </is>
      </c>
      <c r="H12" s="114" t="inlineStr">
        <is>
          <t>https://www.prix-carburants.gouv.fr/</t>
        </is>
      </c>
    </row>
    <row r="14" ht="23" customHeight="1">
      <c r="A14" s="29" t="inlineStr">
        <is>
          <t>2 · FACTEURS D'ÉMISSION PHYSIQUES (kgCO2e par unité physique)</t>
        </is>
      </c>
    </row>
    <row r="15">
      <c r="A15" s="109" t="inlineStr">
        <is>
          <t>Clé</t>
        </is>
      </c>
      <c r="B15" s="109" t="inlineStr">
        <is>
          <t>Valeur</t>
        </is>
      </c>
      <c r="C15" s="109" t="inlineStr">
        <is>
          <t>Unité</t>
        </is>
      </c>
      <c r="D15" s="109" t="inlineStr">
        <is>
          <t>Type</t>
        </is>
      </c>
      <c r="E15" s="109" t="inlineStr">
        <is>
          <t>Source</t>
        </is>
      </c>
      <c r="F15" s="109" t="inlineStr">
        <is>
          <t>Date</t>
        </is>
      </c>
      <c r="G15" s="109" t="inlineStr">
        <is>
          <t>URL</t>
        </is>
      </c>
    </row>
    <row r="16">
      <c r="A16" s="110" t="inlineStr">
        <is>
          <t>FE_ELEC</t>
        </is>
      </c>
      <c r="B16" s="115" t="n">
        <v>0.052</v>
      </c>
      <c r="C16" s="112" t="inlineStr">
        <is>
          <t>kgCO2e/kWh</t>
        </is>
      </c>
      <c r="D16" s="87" t="inlineStr">
        <is>
          <t>VARIABLE</t>
        </is>
      </c>
      <c r="E16" s="113" t="inlineStr">
        <is>
          <t>ADEME - mix élec FR (indicatif)</t>
        </is>
      </c>
      <c r="F16" s="87" t="inlineStr">
        <is>
          <t>2026</t>
        </is>
      </c>
      <c r="G16" s="114" t="inlineStr">
        <is>
          <t>https://base-empreinte.ademe.fr/</t>
        </is>
      </c>
    </row>
    <row r="17">
      <c r="A17" s="110" t="inlineStr">
        <is>
          <t>FE_GAZ</t>
        </is>
      </c>
      <c r="B17" s="115" t="n">
        <v>0.227</v>
      </c>
      <c r="C17" s="112" t="inlineStr">
        <is>
          <t>kgCO2e/kWh</t>
        </is>
      </c>
      <c r="D17" s="87" t="inlineStr">
        <is>
          <t>FIXE</t>
        </is>
      </c>
      <c r="E17" s="113" t="inlineStr">
        <is>
          <t>ADEME - gaz naturel combustion (indicatif)</t>
        </is>
      </c>
      <c r="F17" s="87" t="inlineStr">
        <is>
          <t>2026</t>
        </is>
      </c>
      <c r="G17" s="114" t="inlineStr">
        <is>
          <t>https://base-empreinte.ademe.fr/</t>
        </is>
      </c>
    </row>
    <row r="18">
      <c r="A18" s="110" t="inlineStr">
        <is>
          <t>FE_CHALEUR</t>
        </is>
      </c>
      <c r="B18" s="115" t="n">
        <v>0.116</v>
      </c>
      <c r="C18" s="112" t="inlineStr">
        <is>
          <t>kgCO2e/kWh</t>
        </is>
      </c>
      <c r="D18" s="87" t="inlineStr">
        <is>
          <t>VARIABLE</t>
        </is>
      </c>
      <c r="E18" s="113" t="inlineStr">
        <is>
          <t>ADEME - réseau chaleur moy. (indicatif)</t>
        </is>
      </c>
      <c r="F18" s="87" t="inlineStr">
        <is>
          <t>2026</t>
        </is>
      </c>
      <c r="G18" s="114" t="inlineStr">
        <is>
          <t>https://base-empreinte.ademe.fr/</t>
        </is>
      </c>
    </row>
    <row r="19">
      <c r="A19" s="110" t="inlineStr">
        <is>
          <t>FE_EAU</t>
        </is>
      </c>
      <c r="B19" s="115" t="n">
        <v>0.132</v>
      </c>
      <c r="C19" s="112" t="inlineStr">
        <is>
          <t>kgCO2e/m³</t>
        </is>
      </c>
      <c r="D19" s="87" t="inlineStr">
        <is>
          <t>FIXE</t>
        </is>
      </c>
      <c r="E19" s="113" t="inlineStr">
        <is>
          <t>ADEME - eau potable (indicatif)</t>
        </is>
      </c>
      <c r="F19" s="87" t="inlineStr">
        <is>
          <t>2026</t>
        </is>
      </c>
      <c r="G19" s="114" t="inlineStr">
        <is>
          <t>https://base-empreinte.ademe.fr/</t>
        </is>
      </c>
    </row>
    <row r="20">
      <c r="A20" s="110" t="inlineStr">
        <is>
          <t>FE_GAZOLE</t>
        </is>
      </c>
      <c r="B20" s="115" t="n">
        <v>3.07</v>
      </c>
      <c r="C20" s="112" t="inlineStr">
        <is>
          <t>kgCO2e/L</t>
        </is>
      </c>
      <c r="D20" s="87" t="inlineStr">
        <is>
          <t>FIXE</t>
        </is>
      </c>
      <c r="E20" s="113" t="inlineStr">
        <is>
          <t>ADEME - gazole amont+combustion (indicatif)</t>
        </is>
      </c>
      <c r="F20" s="87" t="inlineStr">
        <is>
          <t>2026</t>
        </is>
      </c>
      <c r="G20" s="114" t="inlineStr">
        <is>
          <t>https://base-empreinte.ademe.fr/</t>
        </is>
      </c>
    </row>
    <row r="21">
      <c r="A21" s="110" t="inlineStr">
        <is>
          <t>FE_SP95</t>
        </is>
      </c>
      <c r="B21" s="115" t="n">
        <v>2.7</v>
      </c>
      <c r="C21" s="112" t="inlineStr">
        <is>
          <t>kgCO2e/L</t>
        </is>
      </c>
      <c r="D21" s="87" t="inlineStr">
        <is>
          <t>FIXE</t>
        </is>
      </c>
      <c r="E21" s="113" t="inlineStr">
        <is>
          <t>ADEME - essence amont+combustion (indicatif)</t>
        </is>
      </c>
      <c r="F21" s="87" t="inlineStr">
        <is>
          <t>2026</t>
        </is>
      </c>
      <c r="G21" s="114" t="inlineStr">
        <is>
          <t>https://base-empreinte.ademe.fr/</t>
        </is>
      </c>
    </row>
    <row r="22">
      <c r="A22" s="110" t="inlineStr">
        <is>
          <t>FE_GNR</t>
        </is>
      </c>
      <c r="B22" s="115" t="n">
        <v>3.15</v>
      </c>
      <c r="C22" s="112" t="inlineStr">
        <is>
          <t>kgCO2e/L</t>
        </is>
      </c>
      <c r="D22" s="87" t="inlineStr">
        <is>
          <t>FIXE</t>
        </is>
      </c>
      <c r="E22" s="113" t="inlineStr">
        <is>
          <t>ADEME - GNR/fioul (indicatif)</t>
        </is>
      </c>
      <c r="F22" s="87" t="inlineStr">
        <is>
          <t>2026</t>
        </is>
      </c>
      <c r="G22" s="114" t="inlineStr">
        <is>
          <t>https://base-empreinte.ademe.fr/</t>
        </is>
      </c>
    </row>
    <row r="24" ht="23" customHeight="1">
      <c r="A24" s="39" t="inlineStr">
        <is>
          <t>3 · CORRESPONDANCE  COMPTE → INDICATEUR DE DURABILITÉ</t>
        </is>
      </c>
    </row>
    <row r="25">
      <c r="A25" s="26" t="inlineStr">
        <is>
          <t>Méthode : PHYSIQUE = € convertis en quantité (litres/kWh/m³) puis en CO2 · MONETAIRE = € × ratio kgCO2e/€ · « — » = non estimé en CO2.</t>
        </is>
      </c>
    </row>
    <row r="26" ht="30" customHeight="1">
      <c r="A26" s="48" t="inlineStr">
        <is>
          <t>Préfixe</t>
        </is>
      </c>
      <c r="B26" s="48" t="inlineStr">
        <is>
          <t>Indicateur</t>
        </is>
      </c>
      <c r="C26" s="48" t="inlineStr">
        <is>
          <t>Pilier</t>
        </is>
      </c>
      <c r="D26" s="48" t="inlineStr">
        <is>
          <t>Thème</t>
        </is>
      </c>
      <c r="E26" s="48" t="inlineStr">
        <is>
          <t>ESRS</t>
        </is>
      </c>
      <c r="F26" s="48" t="inlineStr">
        <is>
          <t>Scope</t>
        </is>
      </c>
      <c r="G26" s="48" t="inlineStr">
        <is>
          <t>Unité</t>
        </is>
      </c>
      <c r="H26" s="48" t="inlineStr">
        <is>
          <t>Méthode</t>
        </is>
      </c>
      <c r="I26" s="48" t="inlineStr">
        <is>
          <t>Type fact.</t>
        </is>
      </c>
      <c r="J26" s="48" t="inlineStr">
        <is>
          <t>Facteur €→unité</t>
        </is>
      </c>
      <c r="K26" s="48" t="inlineStr">
        <is>
          <t>FE physique
(kgCO2e/u)</t>
        </is>
      </c>
      <c r="L26" s="48" t="inlineStr">
        <is>
          <t>FE monétaire
(kgCO2e/€)</t>
        </is>
      </c>
      <c r="M26" s="48" t="inlineStr">
        <is>
          <t>Source</t>
        </is>
      </c>
      <c r="N26" s="48" t="inlineStr">
        <is>
          <t>Commentaire</t>
        </is>
      </c>
    </row>
    <row r="27">
      <c r="A27" s="110" t="inlineStr">
        <is>
          <t>606110</t>
        </is>
      </c>
      <c r="B27" s="107" t="inlineStr">
        <is>
          <t>Électricité</t>
        </is>
      </c>
      <c r="C27" s="116" t="inlineStr">
        <is>
          <t>Environnement</t>
        </is>
      </c>
      <c r="D27" s="90" t="inlineStr">
        <is>
          <t>Énergie</t>
        </is>
      </c>
      <c r="E27" s="117" t="inlineStr">
        <is>
          <t>E1</t>
        </is>
      </c>
      <c r="F27" s="87" t="inlineStr">
        <is>
          <t>Scope 2</t>
        </is>
      </c>
      <c r="G27" s="87" t="inlineStr">
        <is>
          <t>kWh</t>
        </is>
      </c>
      <c r="H27" s="87" t="inlineStr">
        <is>
          <t>PHYSIQUE</t>
        </is>
      </c>
      <c r="I27" s="87" t="inlineStr">
        <is>
          <t>VARIABLE</t>
        </is>
      </c>
      <c r="J27" s="118">
        <f>1/$C$6</f>
        <v/>
      </c>
      <c r="K27" s="118">
        <f>$B$16</f>
        <v/>
      </c>
      <c r="L27" s="119" t="inlineStr"/>
      <c r="M27" s="120" t="inlineStr">
        <is>
          <t>Compteur / facture</t>
        </is>
      </c>
      <c r="N27" s="121" t="inlineStr">
        <is>
          <t>Conso = € / prix kWh</t>
        </is>
      </c>
    </row>
    <row r="28">
      <c r="A28" s="110" t="inlineStr">
        <is>
          <t>606120</t>
        </is>
      </c>
      <c r="B28" s="107" t="inlineStr">
        <is>
          <t>Gaz / chauffage</t>
        </is>
      </c>
      <c r="C28" s="116" t="inlineStr">
        <is>
          <t>Environnement</t>
        </is>
      </c>
      <c r="D28" s="90" t="inlineStr">
        <is>
          <t>Énergie</t>
        </is>
      </c>
      <c r="E28" s="117" t="inlineStr">
        <is>
          <t>E1</t>
        </is>
      </c>
      <c r="F28" s="87" t="inlineStr">
        <is>
          <t>Scope 1</t>
        </is>
      </c>
      <c r="G28" s="87" t="inlineStr">
        <is>
          <t>kWh</t>
        </is>
      </c>
      <c r="H28" s="87" t="inlineStr">
        <is>
          <t>PHYSIQUE</t>
        </is>
      </c>
      <c r="I28" s="87" t="inlineStr">
        <is>
          <t>FIXE</t>
        </is>
      </c>
      <c r="J28" s="118">
        <f>1/$C$7</f>
        <v/>
      </c>
      <c r="K28" s="118">
        <f>$B$17</f>
        <v/>
      </c>
      <c r="L28" s="119" t="inlineStr"/>
      <c r="M28" s="120" t="inlineStr">
        <is>
          <t>Compteur / facture</t>
        </is>
      </c>
      <c r="N28" s="121" t="inlineStr">
        <is>
          <t>Combustion sur site = Scope 1</t>
        </is>
      </c>
    </row>
    <row r="29">
      <c r="A29" s="110" t="inlineStr">
        <is>
          <t>606140</t>
        </is>
      </c>
      <c r="B29" s="107" t="inlineStr">
        <is>
          <t>Réseau chaleur / froid</t>
        </is>
      </c>
      <c r="C29" s="116" t="inlineStr">
        <is>
          <t>Environnement</t>
        </is>
      </c>
      <c r="D29" s="90" t="inlineStr">
        <is>
          <t>Énergie</t>
        </is>
      </c>
      <c r="E29" s="117" t="inlineStr">
        <is>
          <t>E1</t>
        </is>
      </c>
      <c r="F29" s="87" t="inlineStr">
        <is>
          <t>Scope 2</t>
        </is>
      </c>
      <c r="G29" s="87" t="inlineStr">
        <is>
          <t>kWh</t>
        </is>
      </c>
      <c r="H29" s="87" t="inlineStr">
        <is>
          <t>PHYSIQUE</t>
        </is>
      </c>
      <c r="I29" s="87" t="inlineStr">
        <is>
          <t>VARIABLE</t>
        </is>
      </c>
      <c r="J29" s="118">
        <f>1/$C$8</f>
        <v/>
      </c>
      <c r="K29" s="118">
        <f>$B$18</f>
        <v/>
      </c>
      <c r="L29" s="119" t="inlineStr"/>
      <c r="M29" s="120" t="inlineStr">
        <is>
          <t>Facture réseau</t>
        </is>
      </c>
      <c r="N29" s="121" t="inlineStr">
        <is>
          <t>Chaleur achetée = Scope 2</t>
        </is>
      </c>
    </row>
    <row r="30">
      <c r="A30" s="110" t="inlineStr">
        <is>
          <t>606130</t>
        </is>
      </c>
      <c r="B30" s="107" t="inlineStr">
        <is>
          <t>Eau</t>
        </is>
      </c>
      <c r="C30" s="116" t="inlineStr">
        <is>
          <t>Environnement</t>
        </is>
      </c>
      <c r="D30" s="90" t="inlineStr">
        <is>
          <t>Eau</t>
        </is>
      </c>
      <c r="E30" s="117" t="inlineStr">
        <is>
          <t>E3</t>
        </is>
      </c>
      <c r="F30" s="87" t="inlineStr">
        <is>
          <t>—</t>
        </is>
      </c>
      <c r="G30" s="87" t="inlineStr">
        <is>
          <t>m³</t>
        </is>
      </c>
      <c r="H30" s="87" t="inlineStr">
        <is>
          <t>PHYSIQUE</t>
        </is>
      </c>
      <c r="I30" s="87" t="inlineStr">
        <is>
          <t>FIXE</t>
        </is>
      </c>
      <c r="J30" s="118">
        <f>1/$C$9</f>
        <v/>
      </c>
      <c r="K30" s="118">
        <f>$B$19</f>
        <v/>
      </c>
      <c r="L30" s="119" t="inlineStr"/>
      <c r="M30" s="120" t="inlineStr">
        <is>
          <t>Compteur / facture</t>
        </is>
      </c>
      <c r="N30" s="121" t="inlineStr">
        <is>
          <t>Volume = € / prix m³</t>
        </is>
      </c>
    </row>
    <row r="31">
      <c r="A31" s="110" t="inlineStr">
        <is>
          <t>60221</t>
        </is>
      </c>
      <c r="B31" s="107" t="inlineStr">
        <is>
          <t>Carburant gazole</t>
        </is>
      </c>
      <c r="C31" s="116" t="inlineStr">
        <is>
          <t>Environnement</t>
        </is>
      </c>
      <c r="D31" s="90" t="inlineStr">
        <is>
          <t>Mobilité</t>
        </is>
      </c>
      <c r="E31" s="117" t="inlineStr">
        <is>
          <t>E1</t>
        </is>
      </c>
      <c r="F31" s="87" t="inlineStr">
        <is>
          <t>Scope 1</t>
        </is>
      </c>
      <c r="G31" s="87" t="inlineStr">
        <is>
          <t>L</t>
        </is>
      </c>
      <c r="H31" s="87" t="inlineStr">
        <is>
          <t>PHYSIQUE</t>
        </is>
      </c>
      <c r="I31" s="87" t="inlineStr">
        <is>
          <t>FIXE</t>
        </is>
      </c>
      <c r="J31" s="118">
        <f>1/$C$10</f>
        <v/>
      </c>
      <c r="K31" s="118">
        <f>$B$20</f>
        <v/>
      </c>
      <c r="L31" s="119" t="inlineStr"/>
      <c r="M31" s="120" t="inlineStr">
        <is>
          <t>Facture station</t>
        </is>
      </c>
      <c r="N31" s="121" t="inlineStr">
        <is>
          <t>Flotte thermique = Scope 1</t>
        </is>
      </c>
    </row>
    <row r="32">
      <c r="A32" s="110" t="inlineStr">
        <is>
          <t>60222</t>
        </is>
      </c>
      <c r="B32" s="107" t="inlineStr">
        <is>
          <t>Carburant essence</t>
        </is>
      </c>
      <c r="C32" s="116" t="inlineStr">
        <is>
          <t>Environnement</t>
        </is>
      </c>
      <c r="D32" s="90" t="inlineStr">
        <is>
          <t>Mobilité</t>
        </is>
      </c>
      <c r="E32" s="117" t="inlineStr">
        <is>
          <t>E1</t>
        </is>
      </c>
      <c r="F32" s="87" t="inlineStr">
        <is>
          <t>Scope 1</t>
        </is>
      </c>
      <c r="G32" s="87" t="inlineStr">
        <is>
          <t>L</t>
        </is>
      </c>
      <c r="H32" s="87" t="inlineStr">
        <is>
          <t>PHYSIQUE</t>
        </is>
      </c>
      <c r="I32" s="87" t="inlineStr">
        <is>
          <t>FIXE</t>
        </is>
      </c>
      <c r="J32" s="118">
        <f>1/$C$11</f>
        <v/>
      </c>
      <c r="K32" s="118">
        <f>$B$21</f>
        <v/>
      </c>
      <c r="L32" s="119" t="inlineStr"/>
      <c r="M32" s="120" t="inlineStr">
        <is>
          <t>Facture station</t>
        </is>
      </c>
      <c r="N32" s="121" t="inlineStr">
        <is>
          <t>Flotte thermique = Scope 1</t>
        </is>
      </c>
    </row>
    <row r="33">
      <c r="A33" s="110" t="inlineStr">
        <is>
          <t>6022</t>
        </is>
      </c>
      <c r="B33" s="107" t="inlineStr">
        <is>
          <t>Carburants</t>
        </is>
      </c>
      <c r="C33" s="116" t="inlineStr">
        <is>
          <t>Environnement</t>
        </is>
      </c>
      <c r="D33" s="90" t="inlineStr">
        <is>
          <t>Mobilité</t>
        </is>
      </c>
      <c r="E33" s="117" t="inlineStr">
        <is>
          <t>E1</t>
        </is>
      </c>
      <c r="F33" s="87" t="inlineStr">
        <is>
          <t>Scope 1</t>
        </is>
      </c>
      <c r="G33" s="87" t="inlineStr">
        <is>
          <t>L</t>
        </is>
      </c>
      <c r="H33" s="87" t="inlineStr">
        <is>
          <t>PHYSIQUE</t>
        </is>
      </c>
      <c r="I33" s="87" t="inlineStr">
        <is>
          <t>FIXE</t>
        </is>
      </c>
      <c r="J33" s="118">
        <f>1/$C$10</f>
        <v/>
      </c>
      <c r="K33" s="118">
        <f>$B$20</f>
        <v/>
      </c>
      <c r="L33" s="119" t="inlineStr"/>
      <c r="M33" s="120" t="inlineStr">
        <is>
          <t>Facture station</t>
        </is>
      </c>
      <c r="N33" s="121" t="inlineStr">
        <is>
          <t>Par défaut gazole (modifiable)</t>
        </is>
      </c>
    </row>
    <row r="34">
      <c r="A34" s="110" t="inlineStr">
        <is>
          <t>6068</t>
        </is>
      </c>
      <c r="B34" s="107" t="inlineStr">
        <is>
          <t>Autres combustibles</t>
        </is>
      </c>
      <c r="C34" s="116" t="inlineStr">
        <is>
          <t>Environnement</t>
        </is>
      </c>
      <c r="D34" s="90" t="inlineStr">
        <is>
          <t>Énergie</t>
        </is>
      </c>
      <c r="E34" s="117" t="inlineStr">
        <is>
          <t>E1</t>
        </is>
      </c>
      <c r="F34" s="87" t="inlineStr">
        <is>
          <t>Scope 1</t>
        </is>
      </c>
      <c r="G34" s="87" t="inlineStr">
        <is>
          <t>L</t>
        </is>
      </c>
      <c r="H34" s="87" t="inlineStr">
        <is>
          <t>PHYSIQUE</t>
        </is>
      </c>
      <c r="I34" s="87" t="inlineStr">
        <is>
          <t>FIXE</t>
        </is>
      </c>
      <c r="J34" s="118">
        <f>1/$C$12</f>
        <v/>
      </c>
      <c r="K34" s="118">
        <f>$B$22</f>
        <v/>
      </c>
      <c r="L34" s="119" t="inlineStr"/>
      <c r="M34" s="120" t="inlineStr">
        <is>
          <t>Facture</t>
        </is>
      </c>
      <c r="N34" s="121" t="inlineStr">
        <is>
          <t>GNR/fioul</t>
        </is>
      </c>
    </row>
    <row r="35">
      <c r="A35" s="110" t="inlineStr">
        <is>
          <t>613510</t>
        </is>
      </c>
      <c r="B35" s="107" t="inlineStr">
        <is>
          <t>Location mobilité douce</t>
        </is>
      </c>
      <c r="C35" s="116" t="inlineStr">
        <is>
          <t>Environnement</t>
        </is>
      </c>
      <c r="D35" s="90" t="inlineStr">
        <is>
          <t>Mobilité</t>
        </is>
      </c>
      <c r="E35" s="117" t="inlineStr">
        <is>
          <t>E1</t>
        </is>
      </c>
      <c r="F35" s="87" t="inlineStr">
        <is>
          <t>Scope 3</t>
        </is>
      </c>
      <c r="G35" s="87" t="inlineStr">
        <is>
          <t>—</t>
        </is>
      </c>
      <c r="H35" s="87" t="inlineStr">
        <is>
          <t>MONETAIRE</t>
        </is>
      </c>
      <c r="I35" s="87" t="inlineStr">
        <is>
          <t>FIXE</t>
        </is>
      </c>
      <c r="J35" s="43" t="inlineStr"/>
      <c r="K35" s="43" t="inlineStr"/>
      <c r="L35" s="122" t="n">
        <v>0.04</v>
      </c>
      <c r="M35" s="120" t="inlineStr">
        <is>
          <t>ADEME Base Empreinte (ratio indicatif)</t>
        </is>
      </c>
      <c r="N35" s="121" t="inlineStr">
        <is>
          <t>Vélos / mobilité douce (faible)</t>
        </is>
      </c>
    </row>
    <row r="36">
      <c r="A36" s="110" t="inlineStr">
        <is>
          <t>613520</t>
        </is>
      </c>
      <c r="B36" s="107" t="inlineStr">
        <is>
          <t>Location véhicules élec.</t>
        </is>
      </c>
      <c r="C36" s="116" t="inlineStr">
        <is>
          <t>Environnement</t>
        </is>
      </c>
      <c r="D36" s="90" t="inlineStr">
        <is>
          <t>Mobilité</t>
        </is>
      </c>
      <c r="E36" s="117" t="inlineStr">
        <is>
          <t>E1</t>
        </is>
      </c>
      <c r="F36" s="87" t="inlineStr">
        <is>
          <t>Scope 3</t>
        </is>
      </c>
      <c r="G36" s="87" t="inlineStr">
        <is>
          <t>—</t>
        </is>
      </c>
      <c r="H36" s="87" t="inlineStr">
        <is>
          <t>MONETAIRE</t>
        </is>
      </c>
      <c r="I36" s="87" t="inlineStr">
        <is>
          <t>FIXE</t>
        </is>
      </c>
      <c r="J36" s="43" t="inlineStr"/>
      <c r="K36" s="43" t="inlineStr"/>
      <c r="L36" s="122" t="n">
        <v>0.09</v>
      </c>
      <c r="M36" s="120" t="inlineStr">
        <is>
          <t>ADEME Base Empreinte (ratio indicatif)</t>
        </is>
      </c>
      <c r="N36" s="121" t="inlineStr">
        <is>
          <t>Véhicules électriques</t>
        </is>
      </c>
    </row>
    <row r="37">
      <c r="A37" s="110" t="inlineStr">
        <is>
          <t>624400</t>
        </is>
      </c>
      <c r="B37" s="107" t="inlineStr">
        <is>
          <t>Transports administratifs</t>
        </is>
      </c>
      <c r="C37" s="116" t="inlineStr">
        <is>
          <t>Environnement</t>
        </is>
      </c>
      <c r="D37" s="90" t="inlineStr">
        <is>
          <t>Mobilité</t>
        </is>
      </c>
      <c r="E37" s="117" t="inlineStr">
        <is>
          <t>E1</t>
        </is>
      </c>
      <c r="F37" s="87" t="inlineStr">
        <is>
          <t>Scope 3</t>
        </is>
      </c>
      <c r="G37" s="87" t="inlineStr">
        <is>
          <t>—</t>
        </is>
      </c>
      <c r="H37" s="87" t="inlineStr">
        <is>
          <t>MONETAIRE</t>
        </is>
      </c>
      <c r="I37" s="87" t="inlineStr">
        <is>
          <t>FIXE</t>
        </is>
      </c>
      <c r="J37" s="43" t="inlineStr"/>
      <c r="K37" s="43" t="inlineStr"/>
      <c r="L37" s="122" t="n">
        <v>0.3</v>
      </c>
      <c r="M37" s="120" t="inlineStr">
        <is>
          <t>ADEME Base Empreinte (ratio indicatif)</t>
        </is>
      </c>
      <c r="N37" s="121" t="inlineStr"/>
    </row>
    <row r="38">
      <c r="A38" s="110" t="inlineStr">
        <is>
          <t>624700</t>
        </is>
      </c>
      <c r="B38" s="107" t="inlineStr">
        <is>
          <t>Transport du personnel</t>
        </is>
      </c>
      <c r="C38" s="116" t="inlineStr">
        <is>
          <t>Environnement</t>
        </is>
      </c>
      <c r="D38" s="90" t="inlineStr">
        <is>
          <t>Mobilité</t>
        </is>
      </c>
      <c r="E38" s="117" t="inlineStr">
        <is>
          <t>E1</t>
        </is>
      </c>
      <c r="F38" s="87" t="inlineStr">
        <is>
          <t>Scope 3</t>
        </is>
      </c>
      <c r="G38" s="87" t="inlineStr">
        <is>
          <t>—</t>
        </is>
      </c>
      <c r="H38" s="87" t="inlineStr">
        <is>
          <t>MONETAIRE</t>
        </is>
      </c>
      <c r="I38" s="87" t="inlineStr">
        <is>
          <t>FIXE</t>
        </is>
      </c>
      <c r="J38" s="43" t="inlineStr"/>
      <c r="K38" s="43" t="inlineStr"/>
      <c r="L38" s="122" t="n">
        <v>0.25</v>
      </c>
      <c r="M38" s="120" t="inlineStr">
        <is>
          <t>ADEME Base Empreinte (ratio indicatif)</t>
        </is>
      </c>
      <c r="N38" s="121" t="inlineStr"/>
    </row>
    <row r="39">
      <c r="A39" s="110" t="inlineStr">
        <is>
          <t>625110</t>
        </is>
      </c>
      <c r="B39" s="107" t="inlineStr">
        <is>
          <t>Déplacements train</t>
        </is>
      </c>
      <c r="C39" s="116" t="inlineStr">
        <is>
          <t>Environnement</t>
        </is>
      </c>
      <c r="D39" s="90" t="inlineStr">
        <is>
          <t>Mobilité</t>
        </is>
      </c>
      <c r="E39" s="117" t="inlineStr">
        <is>
          <t>E1</t>
        </is>
      </c>
      <c r="F39" s="87" t="inlineStr">
        <is>
          <t>Scope 3</t>
        </is>
      </c>
      <c r="G39" s="87" t="inlineStr">
        <is>
          <t>—</t>
        </is>
      </c>
      <c r="H39" s="87" t="inlineStr">
        <is>
          <t>MONETAIRE</t>
        </is>
      </c>
      <c r="I39" s="87" t="inlineStr">
        <is>
          <t>FIXE</t>
        </is>
      </c>
      <c r="J39" s="43" t="inlineStr"/>
      <c r="K39" s="43" t="inlineStr"/>
      <c r="L39" s="122" t="n">
        <v>0.06</v>
      </c>
      <c r="M39" s="120" t="inlineStr">
        <is>
          <t>ADEME Base Empreinte (ratio indicatif)</t>
        </is>
      </c>
      <c r="N39" s="121" t="inlineStr">
        <is>
          <t>Train (faible intensité)</t>
        </is>
      </c>
    </row>
    <row r="40">
      <c r="A40" s="110" t="inlineStr">
        <is>
          <t>625120</t>
        </is>
      </c>
      <c r="B40" s="107" t="inlineStr">
        <is>
          <t>Transports urbains</t>
        </is>
      </c>
      <c r="C40" s="116" t="inlineStr">
        <is>
          <t>Environnement</t>
        </is>
      </c>
      <c r="D40" s="90" t="inlineStr">
        <is>
          <t>Mobilité</t>
        </is>
      </c>
      <c r="E40" s="117" t="inlineStr">
        <is>
          <t>E1</t>
        </is>
      </c>
      <c r="F40" s="87" t="inlineStr">
        <is>
          <t>Scope 3</t>
        </is>
      </c>
      <c r="G40" s="87" t="inlineStr">
        <is>
          <t>—</t>
        </is>
      </c>
      <c r="H40" s="87" t="inlineStr">
        <is>
          <t>MONETAIRE</t>
        </is>
      </c>
      <c r="I40" s="87" t="inlineStr">
        <is>
          <t>FIXE</t>
        </is>
      </c>
      <c r="J40" s="43" t="inlineStr"/>
      <c r="K40" s="43" t="inlineStr"/>
      <c r="L40" s="122" t="n">
        <v>0.15</v>
      </c>
      <c r="M40" s="120" t="inlineStr">
        <is>
          <t>ADEME Base Empreinte (ratio indicatif)</t>
        </is>
      </c>
      <c r="N40" s="121" t="inlineStr"/>
    </row>
    <row r="41">
      <c r="A41" s="110" t="inlineStr">
        <is>
          <t>625130</t>
        </is>
      </c>
      <c r="B41" s="107" t="inlineStr">
        <is>
          <t>Taxis / VTC</t>
        </is>
      </c>
      <c r="C41" s="116" t="inlineStr">
        <is>
          <t>Environnement</t>
        </is>
      </c>
      <c r="D41" s="90" t="inlineStr">
        <is>
          <t>Mobilité</t>
        </is>
      </c>
      <c r="E41" s="117" t="inlineStr">
        <is>
          <t>E1</t>
        </is>
      </c>
      <c r="F41" s="87" t="inlineStr">
        <is>
          <t>Scope 3</t>
        </is>
      </c>
      <c r="G41" s="87" t="inlineStr">
        <is>
          <t>—</t>
        </is>
      </c>
      <c r="H41" s="87" t="inlineStr">
        <is>
          <t>MONETAIRE</t>
        </is>
      </c>
      <c r="I41" s="87" t="inlineStr">
        <is>
          <t>FIXE</t>
        </is>
      </c>
      <c r="J41" s="43" t="inlineStr"/>
      <c r="K41" s="43" t="inlineStr"/>
      <c r="L41" s="122" t="n">
        <v>0.45</v>
      </c>
      <c r="M41" s="120" t="inlineStr">
        <is>
          <t>ADEME Base Empreinte (ratio indicatif)</t>
        </is>
      </c>
      <c r="N41" s="121" t="inlineStr"/>
    </row>
    <row r="42">
      <c r="A42" s="110" t="inlineStr">
        <is>
          <t>625140</t>
        </is>
      </c>
      <c r="B42" s="107" t="inlineStr">
        <is>
          <t>Déplacements avion</t>
        </is>
      </c>
      <c r="C42" s="116" t="inlineStr">
        <is>
          <t>Environnement</t>
        </is>
      </c>
      <c r="D42" s="90" t="inlineStr">
        <is>
          <t>Mobilité</t>
        </is>
      </c>
      <c r="E42" s="117" t="inlineStr">
        <is>
          <t>E1</t>
        </is>
      </c>
      <c r="F42" s="87" t="inlineStr">
        <is>
          <t>Scope 3</t>
        </is>
      </c>
      <c r="G42" s="87" t="inlineStr">
        <is>
          <t>—</t>
        </is>
      </c>
      <c r="H42" s="87" t="inlineStr">
        <is>
          <t>MONETAIRE</t>
        </is>
      </c>
      <c r="I42" s="87" t="inlineStr">
        <is>
          <t>FIXE</t>
        </is>
      </c>
      <c r="J42" s="43" t="inlineStr"/>
      <c r="K42" s="43" t="inlineStr"/>
      <c r="L42" s="122" t="n">
        <v>0.9</v>
      </c>
      <c r="M42" s="120" t="inlineStr">
        <is>
          <t>ADEME Base Empreinte (ratio indicatif)</t>
        </is>
      </c>
      <c r="N42" s="121" t="inlineStr">
        <is>
          <t>Aérien (forte intensité)</t>
        </is>
      </c>
    </row>
    <row r="43">
      <c r="A43" s="110" t="inlineStr">
        <is>
          <t>625150</t>
        </is>
      </c>
      <c r="B43" s="107" t="inlineStr">
        <is>
          <t>Hébergement missions</t>
        </is>
      </c>
      <c r="C43" s="116" t="inlineStr">
        <is>
          <t>Environnement</t>
        </is>
      </c>
      <c r="D43" s="90" t="inlineStr">
        <is>
          <t>Mobilité</t>
        </is>
      </c>
      <c r="E43" s="117" t="inlineStr">
        <is>
          <t>E1</t>
        </is>
      </c>
      <c r="F43" s="87" t="inlineStr">
        <is>
          <t>Scope 3</t>
        </is>
      </c>
      <c r="G43" s="87" t="inlineStr">
        <is>
          <t>—</t>
        </is>
      </c>
      <c r="H43" s="87" t="inlineStr">
        <is>
          <t>MONETAIRE</t>
        </is>
      </c>
      <c r="I43" s="87" t="inlineStr">
        <is>
          <t>FIXE</t>
        </is>
      </c>
      <c r="J43" s="43" t="inlineStr"/>
      <c r="K43" s="43" t="inlineStr"/>
      <c r="L43" s="122" t="n">
        <v>0.2</v>
      </c>
      <c r="M43" s="120" t="inlineStr">
        <is>
          <t>ADEME Base Empreinte (ratio indicatif)</t>
        </is>
      </c>
      <c r="N43" s="121" t="inlineStr"/>
    </row>
    <row r="44">
      <c r="A44" s="110" t="inlineStr">
        <is>
          <t>625160</t>
        </is>
      </c>
      <c r="B44" s="107" t="inlineStr">
        <is>
          <t>Repas en déplacement</t>
        </is>
      </c>
      <c r="C44" s="116" t="inlineStr">
        <is>
          <t>Environnement</t>
        </is>
      </c>
      <c r="D44" s="90" t="inlineStr">
        <is>
          <t>Mobilité</t>
        </is>
      </c>
      <c r="E44" s="117" t="inlineStr">
        <is>
          <t>E1</t>
        </is>
      </c>
      <c r="F44" s="87" t="inlineStr">
        <is>
          <t>Scope 3</t>
        </is>
      </c>
      <c r="G44" s="87" t="inlineStr">
        <is>
          <t>—</t>
        </is>
      </c>
      <c r="H44" s="87" t="inlineStr">
        <is>
          <t>MONETAIRE</t>
        </is>
      </c>
      <c r="I44" s="87" t="inlineStr">
        <is>
          <t>FIXE</t>
        </is>
      </c>
      <c r="J44" s="43" t="inlineStr"/>
      <c r="K44" s="43" t="inlineStr"/>
      <c r="L44" s="122" t="n">
        <v>0.25</v>
      </c>
      <c r="M44" s="120" t="inlineStr">
        <is>
          <t>ADEME Base Empreinte (ratio indicatif)</t>
        </is>
      </c>
      <c r="N44" s="121" t="inlineStr"/>
    </row>
    <row r="45">
      <c r="A45" s="110" t="inlineStr">
        <is>
          <t>625170</t>
        </is>
      </c>
      <c r="B45" s="107" t="inlineStr">
        <is>
          <t>Indemnités kilométriques</t>
        </is>
      </c>
      <c r="C45" s="116" t="inlineStr">
        <is>
          <t>Environnement</t>
        </is>
      </c>
      <c r="D45" s="90" t="inlineStr">
        <is>
          <t>Mobilité</t>
        </is>
      </c>
      <c r="E45" s="117" t="inlineStr">
        <is>
          <t>E1</t>
        </is>
      </c>
      <c r="F45" s="87" t="inlineStr">
        <is>
          <t>Scope 3</t>
        </is>
      </c>
      <c r="G45" s="87" t="inlineStr">
        <is>
          <t>—</t>
        </is>
      </c>
      <c r="H45" s="87" t="inlineStr">
        <is>
          <t>MONETAIRE</t>
        </is>
      </c>
      <c r="I45" s="87" t="inlineStr">
        <is>
          <t>FIXE</t>
        </is>
      </c>
      <c r="J45" s="43" t="inlineStr"/>
      <c r="K45" s="43" t="inlineStr"/>
      <c r="L45" s="122" t="n">
        <v>0.3</v>
      </c>
      <c r="M45" s="120" t="inlineStr">
        <is>
          <t>ADEME Base Empreinte (ratio indicatif)</t>
        </is>
      </c>
      <c r="N45" s="121" t="inlineStr">
        <is>
          <t>Véhicules personnels salariés</t>
        </is>
      </c>
    </row>
    <row r="46">
      <c r="A46" s="110" t="inlineStr">
        <is>
          <t>625</t>
        </is>
      </c>
      <c r="B46" s="107" t="inlineStr">
        <is>
          <t>Déplacements (autres)</t>
        </is>
      </c>
      <c r="C46" s="116" t="inlineStr">
        <is>
          <t>Environnement</t>
        </is>
      </c>
      <c r="D46" s="90" t="inlineStr">
        <is>
          <t>Mobilité</t>
        </is>
      </c>
      <c r="E46" s="117" t="inlineStr">
        <is>
          <t>E1</t>
        </is>
      </c>
      <c r="F46" s="87" t="inlineStr">
        <is>
          <t>Scope 3</t>
        </is>
      </c>
      <c r="G46" s="87" t="inlineStr">
        <is>
          <t>—</t>
        </is>
      </c>
      <c r="H46" s="87" t="inlineStr">
        <is>
          <t>MONETAIRE</t>
        </is>
      </c>
      <c r="I46" s="87" t="inlineStr">
        <is>
          <t>FIXE</t>
        </is>
      </c>
      <c r="J46" s="43" t="inlineStr"/>
      <c r="K46" s="43" t="inlineStr"/>
      <c r="L46" s="122" t="n">
        <v>0.3</v>
      </c>
      <c r="M46" s="120" t="inlineStr">
        <is>
          <t>ADEME Base Empreinte (ratio indicatif)</t>
        </is>
      </c>
      <c r="N46" s="121" t="inlineStr">
        <is>
          <t>Repli déplacements</t>
        </is>
      </c>
    </row>
    <row r="47">
      <c r="A47" s="110" t="inlineStr">
        <is>
          <t>624</t>
        </is>
      </c>
      <c r="B47" s="107" t="inlineStr">
        <is>
          <t>Transports (autres)</t>
        </is>
      </c>
      <c r="C47" s="116" t="inlineStr">
        <is>
          <t>Environnement</t>
        </is>
      </c>
      <c r="D47" s="90" t="inlineStr">
        <is>
          <t>Mobilité</t>
        </is>
      </c>
      <c r="E47" s="117" t="inlineStr">
        <is>
          <t>E1</t>
        </is>
      </c>
      <c r="F47" s="87" t="inlineStr">
        <is>
          <t>Scope 3</t>
        </is>
      </c>
      <c r="G47" s="87" t="inlineStr">
        <is>
          <t>—</t>
        </is>
      </c>
      <c r="H47" s="87" t="inlineStr">
        <is>
          <t>MONETAIRE</t>
        </is>
      </c>
      <c r="I47" s="87" t="inlineStr">
        <is>
          <t>FIXE</t>
        </is>
      </c>
      <c r="J47" s="43" t="inlineStr"/>
      <c r="K47" s="43" t="inlineStr"/>
      <c r="L47" s="122" t="n">
        <v>0.3</v>
      </c>
      <c r="M47" s="120" t="inlineStr">
        <is>
          <t>ADEME Base Empreinte (ratio indicatif)</t>
        </is>
      </c>
      <c r="N47" s="121" t="inlineStr">
        <is>
          <t>Repli transports</t>
        </is>
      </c>
    </row>
    <row r="48">
      <c r="A48" s="110" t="inlineStr">
        <is>
          <t>626100</t>
        </is>
      </c>
      <c r="B48" s="107" t="inlineStr">
        <is>
          <t>Internet / télécom fixe</t>
        </is>
      </c>
      <c r="C48" s="116" t="inlineStr">
        <is>
          <t>Environnement</t>
        </is>
      </c>
      <c r="D48" s="90" t="inlineStr">
        <is>
          <t>Numérique</t>
        </is>
      </c>
      <c r="E48" s="117" t="inlineStr">
        <is>
          <t>E1</t>
        </is>
      </c>
      <c r="F48" s="87" t="inlineStr">
        <is>
          <t>Scope 3</t>
        </is>
      </c>
      <c r="G48" s="87" t="inlineStr">
        <is>
          <t>—</t>
        </is>
      </c>
      <c r="H48" s="87" t="inlineStr">
        <is>
          <t>MONETAIRE</t>
        </is>
      </c>
      <c r="I48" s="87" t="inlineStr">
        <is>
          <t>FIXE</t>
        </is>
      </c>
      <c r="J48" s="43" t="inlineStr"/>
      <c r="K48" s="43" t="inlineStr"/>
      <c r="L48" s="122" t="n">
        <v>0.2</v>
      </c>
      <c r="M48" s="120" t="inlineStr">
        <is>
          <t>ADEME Base Empreinte (ratio indicatif)</t>
        </is>
      </c>
      <c r="N48" s="121" t="inlineStr"/>
    </row>
    <row r="49">
      <c r="A49" s="110" t="inlineStr">
        <is>
          <t>626200</t>
        </is>
      </c>
      <c r="B49" s="107" t="inlineStr">
        <is>
          <t>Téléphonie mobile</t>
        </is>
      </c>
      <c r="C49" s="116" t="inlineStr">
        <is>
          <t>Environnement</t>
        </is>
      </c>
      <c r="D49" s="90" t="inlineStr">
        <is>
          <t>Numérique</t>
        </is>
      </c>
      <c r="E49" s="117" t="inlineStr">
        <is>
          <t>E1</t>
        </is>
      </c>
      <c r="F49" s="87" t="inlineStr">
        <is>
          <t>Scope 3</t>
        </is>
      </c>
      <c r="G49" s="87" t="inlineStr">
        <is>
          <t>—</t>
        </is>
      </c>
      <c r="H49" s="87" t="inlineStr">
        <is>
          <t>MONETAIRE</t>
        </is>
      </c>
      <c r="I49" s="87" t="inlineStr">
        <is>
          <t>FIXE</t>
        </is>
      </c>
      <c r="J49" s="43" t="inlineStr"/>
      <c r="K49" s="43" t="inlineStr"/>
      <c r="L49" s="122" t="n">
        <v>0.2</v>
      </c>
      <c r="M49" s="120" t="inlineStr">
        <is>
          <t>ADEME Base Empreinte (ratio indicatif)</t>
        </is>
      </c>
      <c r="N49" s="121" t="inlineStr"/>
    </row>
    <row r="50">
      <c r="A50" s="110" t="inlineStr">
        <is>
          <t>628110</t>
        </is>
      </c>
      <c r="B50" s="107" t="inlineStr">
        <is>
          <t>Cloud / SaaS</t>
        </is>
      </c>
      <c r="C50" s="116" t="inlineStr">
        <is>
          <t>Environnement</t>
        </is>
      </c>
      <c r="D50" s="90" t="inlineStr">
        <is>
          <t>Numérique</t>
        </is>
      </c>
      <c r="E50" s="117" t="inlineStr">
        <is>
          <t>E1</t>
        </is>
      </c>
      <c r="F50" s="87" t="inlineStr">
        <is>
          <t>Scope 3</t>
        </is>
      </c>
      <c r="G50" s="87" t="inlineStr">
        <is>
          <t>—</t>
        </is>
      </c>
      <c r="H50" s="87" t="inlineStr">
        <is>
          <t>MONETAIRE</t>
        </is>
      </c>
      <c r="I50" s="87" t="inlineStr">
        <is>
          <t>FIXE</t>
        </is>
      </c>
      <c r="J50" s="43" t="inlineStr"/>
      <c r="K50" s="43" t="inlineStr"/>
      <c r="L50" s="122" t="n">
        <v>0.25</v>
      </c>
      <c r="M50" s="120" t="inlineStr">
        <is>
          <t>ADEME Base Empreinte (ratio indicatif)</t>
        </is>
      </c>
      <c r="N50" s="121" t="inlineStr">
        <is>
          <t>Hébergement externalisé</t>
        </is>
      </c>
    </row>
    <row r="51">
      <c r="A51" s="110" t="inlineStr">
        <is>
          <t>628120</t>
        </is>
      </c>
      <c r="B51" s="107" t="inlineStr">
        <is>
          <t>Stockage / sauvegarde</t>
        </is>
      </c>
      <c r="C51" s="116" t="inlineStr">
        <is>
          <t>Environnement</t>
        </is>
      </c>
      <c r="D51" s="90" t="inlineStr">
        <is>
          <t>Numérique</t>
        </is>
      </c>
      <c r="E51" s="117" t="inlineStr">
        <is>
          <t>E1</t>
        </is>
      </c>
      <c r="F51" s="87" t="inlineStr">
        <is>
          <t>Scope 3</t>
        </is>
      </c>
      <c r="G51" s="87" t="inlineStr">
        <is>
          <t>—</t>
        </is>
      </c>
      <c r="H51" s="87" t="inlineStr">
        <is>
          <t>MONETAIRE</t>
        </is>
      </c>
      <c r="I51" s="87" t="inlineStr">
        <is>
          <t>FIXE</t>
        </is>
      </c>
      <c r="J51" s="43" t="inlineStr"/>
      <c r="K51" s="43" t="inlineStr"/>
      <c r="L51" s="122" t="n">
        <v>0.25</v>
      </c>
      <c r="M51" s="120" t="inlineStr">
        <is>
          <t>ADEME Base Empreinte (ratio indicatif)</t>
        </is>
      </c>
      <c r="N51" s="121" t="inlineStr"/>
    </row>
    <row r="52">
      <c r="A52" s="110" t="inlineStr">
        <is>
          <t>628130</t>
        </is>
      </c>
      <c r="B52" s="107" t="inlineStr">
        <is>
          <t>Cybersécurité</t>
        </is>
      </c>
      <c r="C52" s="116" t="inlineStr">
        <is>
          <t>Environnement</t>
        </is>
      </c>
      <c r="D52" s="90" t="inlineStr">
        <is>
          <t>Numérique</t>
        </is>
      </c>
      <c r="E52" s="117" t="inlineStr">
        <is>
          <t>E1</t>
        </is>
      </c>
      <c r="F52" s="87" t="inlineStr">
        <is>
          <t>Scope 3</t>
        </is>
      </c>
      <c r="G52" s="87" t="inlineStr">
        <is>
          <t>—</t>
        </is>
      </c>
      <c r="H52" s="87" t="inlineStr">
        <is>
          <t>MONETAIRE</t>
        </is>
      </c>
      <c r="I52" s="87" t="inlineStr">
        <is>
          <t>FIXE</t>
        </is>
      </c>
      <c r="J52" s="43" t="inlineStr"/>
      <c r="K52" s="43" t="inlineStr"/>
      <c r="L52" s="122" t="n">
        <v>0.15</v>
      </c>
      <c r="M52" s="120" t="inlineStr">
        <is>
          <t>ADEME Base Empreinte (ratio indicatif)</t>
        </is>
      </c>
      <c r="N52" s="121" t="inlineStr"/>
    </row>
    <row r="53">
      <c r="A53" s="110" t="inlineStr">
        <is>
          <t>628500</t>
        </is>
      </c>
      <c r="B53" s="107" t="inlineStr">
        <is>
          <t>Outils collaboratifs</t>
        </is>
      </c>
      <c r="C53" s="116" t="inlineStr">
        <is>
          <t>Environnement</t>
        </is>
      </c>
      <c r="D53" s="90" t="inlineStr">
        <is>
          <t>Numérique</t>
        </is>
      </c>
      <c r="E53" s="117" t="inlineStr">
        <is>
          <t>E1</t>
        </is>
      </c>
      <c r="F53" s="87" t="inlineStr">
        <is>
          <t>Scope 3</t>
        </is>
      </c>
      <c r="G53" s="87" t="inlineStr">
        <is>
          <t>—</t>
        </is>
      </c>
      <c r="H53" s="87" t="inlineStr">
        <is>
          <t>MONETAIRE</t>
        </is>
      </c>
      <c r="I53" s="87" t="inlineStr">
        <is>
          <t>FIXE</t>
        </is>
      </c>
      <c r="J53" s="43" t="inlineStr"/>
      <c r="K53" s="43" t="inlineStr"/>
      <c r="L53" s="122" t="n">
        <v>0.2</v>
      </c>
      <c r="M53" s="120" t="inlineStr">
        <is>
          <t>ADEME Base Empreinte (ratio indicatif)</t>
        </is>
      </c>
      <c r="N53" s="121" t="inlineStr"/>
    </row>
    <row r="54">
      <c r="A54" s="110" t="inlineStr">
        <is>
          <t>606300</t>
        </is>
      </c>
      <c r="B54" s="107" t="inlineStr">
        <is>
          <t>Matériel informatique</t>
        </is>
      </c>
      <c r="C54" s="116" t="inlineStr">
        <is>
          <t>Environnement</t>
        </is>
      </c>
      <c r="D54" s="90" t="inlineStr">
        <is>
          <t>Numérique</t>
        </is>
      </c>
      <c r="E54" s="117" t="inlineStr">
        <is>
          <t>E1</t>
        </is>
      </c>
      <c r="F54" s="87" t="inlineStr">
        <is>
          <t>Scope 3</t>
        </is>
      </c>
      <c r="G54" s="87" t="inlineStr">
        <is>
          <t>—</t>
        </is>
      </c>
      <c r="H54" s="87" t="inlineStr">
        <is>
          <t>MONETAIRE</t>
        </is>
      </c>
      <c r="I54" s="87" t="inlineStr">
        <is>
          <t>FIXE</t>
        </is>
      </c>
      <c r="J54" s="43" t="inlineStr"/>
      <c r="K54" s="43" t="inlineStr"/>
      <c r="L54" s="122" t="n">
        <v>0.4</v>
      </c>
      <c r="M54" s="120" t="inlineStr">
        <is>
          <t>ADEME Base Empreinte (ratio indicatif)</t>
        </is>
      </c>
      <c r="N54" s="121" t="inlineStr">
        <is>
          <t>Achat matériel (fabrication)</t>
        </is>
      </c>
    </row>
    <row r="55">
      <c r="A55" s="110" t="inlineStr">
        <is>
          <t>606310</t>
        </is>
      </c>
      <c r="B55" s="107" t="inlineStr">
        <is>
          <t>Consommables info.</t>
        </is>
      </c>
      <c r="C55" s="116" t="inlineStr">
        <is>
          <t>Environnement</t>
        </is>
      </c>
      <c r="D55" s="90" t="inlineStr">
        <is>
          <t>Numérique</t>
        </is>
      </c>
      <c r="E55" s="117" t="inlineStr">
        <is>
          <t>E1</t>
        </is>
      </c>
      <c r="F55" s="87" t="inlineStr">
        <is>
          <t>Scope 3</t>
        </is>
      </c>
      <c r="G55" s="87" t="inlineStr">
        <is>
          <t>—</t>
        </is>
      </c>
      <c r="H55" s="87" t="inlineStr">
        <is>
          <t>MONETAIRE</t>
        </is>
      </c>
      <c r="I55" s="87" t="inlineStr">
        <is>
          <t>FIXE</t>
        </is>
      </c>
      <c r="J55" s="43" t="inlineStr"/>
      <c r="K55" s="43" t="inlineStr"/>
      <c r="L55" s="122" t="n">
        <v>0.4</v>
      </c>
      <c r="M55" s="120" t="inlineStr">
        <is>
          <t>ADEME Base Empreinte (ratio indicatif)</t>
        </is>
      </c>
      <c r="N55" s="121" t="inlineStr"/>
    </row>
    <row r="56">
      <c r="A56" s="110" t="inlineStr">
        <is>
          <t>651100</t>
        </is>
      </c>
      <c r="B56" s="107" t="inlineStr">
        <is>
          <t>Licences logicielles</t>
        </is>
      </c>
      <c r="C56" s="116" t="inlineStr">
        <is>
          <t>Environnement</t>
        </is>
      </c>
      <c r="D56" s="90" t="inlineStr">
        <is>
          <t>Numérique</t>
        </is>
      </c>
      <c r="E56" s="117" t="inlineStr">
        <is>
          <t>E1</t>
        </is>
      </c>
      <c r="F56" s="87" t="inlineStr">
        <is>
          <t>Scope 3</t>
        </is>
      </c>
      <c r="G56" s="87" t="inlineStr">
        <is>
          <t>—</t>
        </is>
      </c>
      <c r="H56" s="87" t="inlineStr">
        <is>
          <t>MONETAIRE</t>
        </is>
      </c>
      <c r="I56" s="87" t="inlineStr">
        <is>
          <t>FIXE</t>
        </is>
      </c>
      <c r="J56" s="43" t="inlineStr"/>
      <c r="K56" s="43" t="inlineStr"/>
      <c r="L56" s="122" t="n">
        <v>0.2</v>
      </c>
      <c r="M56" s="120" t="inlineStr">
        <is>
          <t>ADEME Base Empreinte (ratio indicatif)</t>
        </is>
      </c>
      <c r="N56" s="121" t="inlineStr"/>
    </row>
    <row r="57">
      <c r="A57" s="110" t="inlineStr">
        <is>
          <t>606210</t>
        </is>
      </c>
      <c r="B57" s="107" t="inlineStr">
        <is>
          <t>Fournitures entretien</t>
        </is>
      </c>
      <c r="C57" s="116" t="inlineStr">
        <is>
          <t>Environnement</t>
        </is>
      </c>
      <c r="D57" s="90" t="inlineStr">
        <is>
          <t>Achats</t>
        </is>
      </c>
      <c r="E57" s="117" t="inlineStr">
        <is>
          <t>E5</t>
        </is>
      </c>
      <c r="F57" s="87" t="inlineStr">
        <is>
          <t>Scope 3</t>
        </is>
      </c>
      <c r="G57" s="87" t="inlineStr">
        <is>
          <t>—</t>
        </is>
      </c>
      <c r="H57" s="87" t="inlineStr">
        <is>
          <t>MONETAIRE</t>
        </is>
      </c>
      <c r="I57" s="87" t="inlineStr">
        <is>
          <t>FIXE</t>
        </is>
      </c>
      <c r="J57" s="43" t="inlineStr"/>
      <c r="K57" s="43" t="inlineStr"/>
      <c r="L57" s="122" t="n">
        <v>0.4</v>
      </c>
      <c r="M57" s="120" t="inlineStr">
        <is>
          <t>ADEME Base Empreinte (ratio indicatif)</t>
        </is>
      </c>
      <c r="N57" s="121" t="inlineStr"/>
    </row>
    <row r="58">
      <c r="A58" s="110" t="inlineStr">
        <is>
          <t>606220</t>
        </is>
      </c>
      <c r="B58" s="107" t="inlineStr">
        <is>
          <t>Produits hygiène/sécurité</t>
        </is>
      </c>
      <c r="C58" s="116" t="inlineStr">
        <is>
          <t>Environnement</t>
        </is>
      </c>
      <c r="D58" s="90" t="inlineStr">
        <is>
          <t>Achats</t>
        </is>
      </c>
      <c r="E58" s="117" t="inlineStr">
        <is>
          <t>E5</t>
        </is>
      </c>
      <c r="F58" s="87" t="inlineStr">
        <is>
          <t>Scope 3</t>
        </is>
      </c>
      <c r="G58" s="87" t="inlineStr">
        <is>
          <t>—</t>
        </is>
      </c>
      <c r="H58" s="87" t="inlineStr">
        <is>
          <t>MONETAIRE</t>
        </is>
      </c>
      <c r="I58" s="87" t="inlineStr">
        <is>
          <t>FIXE</t>
        </is>
      </c>
      <c r="J58" s="43" t="inlineStr"/>
      <c r="K58" s="43" t="inlineStr"/>
      <c r="L58" s="122" t="n">
        <v>0.4</v>
      </c>
      <c r="M58" s="120" t="inlineStr">
        <is>
          <t>ADEME Base Empreinte (ratio indicatif)</t>
        </is>
      </c>
      <c r="N58" s="121" t="inlineStr"/>
    </row>
    <row r="59">
      <c r="A59" s="110" t="inlineStr">
        <is>
          <t>606400</t>
        </is>
      </c>
      <c r="B59" s="107" t="inlineStr">
        <is>
          <t>Fournitures administratives</t>
        </is>
      </c>
      <c r="C59" s="116" t="inlineStr">
        <is>
          <t>Environnement</t>
        </is>
      </c>
      <c r="D59" s="90" t="inlineStr">
        <is>
          <t>Achats</t>
        </is>
      </c>
      <c r="E59" s="117" t="inlineStr">
        <is>
          <t>E5</t>
        </is>
      </c>
      <c r="F59" s="87" t="inlineStr">
        <is>
          <t>Scope 3</t>
        </is>
      </c>
      <c r="G59" s="87" t="inlineStr">
        <is>
          <t>—</t>
        </is>
      </c>
      <c r="H59" s="87" t="inlineStr">
        <is>
          <t>MONETAIRE</t>
        </is>
      </c>
      <c r="I59" s="87" t="inlineStr">
        <is>
          <t>FIXE</t>
        </is>
      </c>
      <c r="J59" s="43" t="inlineStr"/>
      <c r="K59" s="43" t="inlineStr"/>
      <c r="L59" s="122" t="n">
        <v>0.6</v>
      </c>
      <c r="M59" s="120" t="inlineStr">
        <is>
          <t>ADEME Base Empreinte (ratio indicatif)</t>
        </is>
      </c>
      <c r="N59" s="121" t="inlineStr"/>
    </row>
    <row r="60">
      <c r="A60" s="110" t="inlineStr">
        <is>
          <t>606410</t>
        </is>
      </c>
      <c r="B60" s="107" t="inlineStr">
        <is>
          <t>Papier</t>
        </is>
      </c>
      <c r="C60" s="116" t="inlineStr">
        <is>
          <t>Environnement</t>
        </is>
      </c>
      <c r="D60" s="90" t="inlineStr">
        <is>
          <t>Achats</t>
        </is>
      </c>
      <c r="E60" s="117" t="inlineStr">
        <is>
          <t>E5</t>
        </is>
      </c>
      <c r="F60" s="87" t="inlineStr">
        <is>
          <t>Scope 3</t>
        </is>
      </c>
      <c r="G60" s="87" t="inlineStr">
        <is>
          <t>—</t>
        </is>
      </c>
      <c r="H60" s="87" t="inlineStr">
        <is>
          <t>MONETAIRE</t>
        </is>
      </c>
      <c r="I60" s="87" t="inlineStr">
        <is>
          <t>FIXE</t>
        </is>
      </c>
      <c r="J60" s="43" t="inlineStr"/>
      <c r="K60" s="43" t="inlineStr"/>
      <c r="L60" s="122" t="n">
        <v>0.9</v>
      </c>
      <c r="M60" s="120" t="inlineStr">
        <is>
          <t>ADEME Base Empreinte (ratio indicatif)</t>
        </is>
      </c>
      <c r="N60" s="121" t="inlineStr">
        <is>
          <t>Papier (forte intensité)</t>
        </is>
      </c>
    </row>
    <row r="61">
      <c r="A61" s="110" t="inlineStr">
        <is>
          <t>606420</t>
        </is>
      </c>
      <c r="B61" s="107" t="inlineStr">
        <is>
          <t>Fournitures responsables</t>
        </is>
      </c>
      <c r="C61" s="116" t="inlineStr">
        <is>
          <t>Environnement</t>
        </is>
      </c>
      <c r="D61" s="90" t="inlineStr">
        <is>
          <t>Achats</t>
        </is>
      </c>
      <c r="E61" s="117" t="inlineStr">
        <is>
          <t>E5</t>
        </is>
      </c>
      <c r="F61" s="87" t="inlineStr">
        <is>
          <t>Scope 3</t>
        </is>
      </c>
      <c r="G61" s="87" t="inlineStr">
        <is>
          <t>—</t>
        </is>
      </c>
      <c r="H61" s="87" t="inlineStr">
        <is>
          <t>MONETAIRE</t>
        </is>
      </c>
      <c r="I61" s="87" t="inlineStr">
        <is>
          <t>FIXE</t>
        </is>
      </c>
      <c r="J61" s="43" t="inlineStr"/>
      <c r="K61" s="43" t="inlineStr"/>
      <c r="L61" s="122" t="n">
        <v>0.45</v>
      </c>
      <c r="M61" s="120" t="inlineStr">
        <is>
          <t>ADEME Base Empreinte (ratio indicatif)</t>
        </is>
      </c>
      <c r="N61" s="121" t="inlineStr"/>
    </row>
    <row r="62">
      <c r="A62" s="110" t="inlineStr">
        <is>
          <t>604100</t>
        </is>
      </c>
      <c r="B62" s="107" t="inlineStr">
        <is>
          <t>Sous-traitance / études</t>
        </is>
      </c>
      <c r="C62" s="116" t="inlineStr">
        <is>
          <t>Environnement</t>
        </is>
      </c>
      <c r="D62" s="90" t="inlineStr">
        <is>
          <t>Achats</t>
        </is>
      </c>
      <c r="E62" s="117" t="inlineStr">
        <is>
          <t>E1</t>
        </is>
      </c>
      <c r="F62" s="87" t="inlineStr">
        <is>
          <t>Scope 3</t>
        </is>
      </c>
      <c r="G62" s="87" t="inlineStr">
        <is>
          <t>—</t>
        </is>
      </c>
      <c r="H62" s="87" t="inlineStr">
        <is>
          <t>MONETAIRE</t>
        </is>
      </c>
      <c r="I62" s="87" t="inlineStr">
        <is>
          <t>FIXE</t>
        </is>
      </c>
      <c r="J62" s="43" t="inlineStr"/>
      <c r="K62" s="43" t="inlineStr"/>
      <c r="L62" s="122" t="n">
        <v>0.1</v>
      </c>
      <c r="M62" s="120" t="inlineStr">
        <is>
          <t>ADEME Base Empreinte (ratio indicatif)</t>
        </is>
      </c>
      <c r="N62" s="121" t="inlineStr">
        <is>
          <t>Services intellectuels</t>
        </is>
      </c>
    </row>
    <row r="63">
      <c r="A63" s="110" t="inlineStr">
        <is>
          <t>611</t>
        </is>
      </c>
      <c r="B63" s="107" t="inlineStr">
        <is>
          <t>Sous-traitance générale</t>
        </is>
      </c>
      <c r="C63" s="116" t="inlineStr">
        <is>
          <t>Environnement</t>
        </is>
      </c>
      <c r="D63" s="90" t="inlineStr">
        <is>
          <t>Achats</t>
        </is>
      </c>
      <c r="E63" s="117" t="inlineStr">
        <is>
          <t>E1</t>
        </is>
      </c>
      <c r="F63" s="87" t="inlineStr">
        <is>
          <t>Scope 3</t>
        </is>
      </c>
      <c r="G63" s="87" t="inlineStr">
        <is>
          <t>—</t>
        </is>
      </c>
      <c r="H63" s="87" t="inlineStr">
        <is>
          <t>MONETAIRE</t>
        </is>
      </c>
      <c r="I63" s="87" t="inlineStr">
        <is>
          <t>FIXE</t>
        </is>
      </c>
      <c r="J63" s="43" t="inlineStr"/>
      <c r="K63" s="43" t="inlineStr"/>
      <c r="L63" s="122" t="n">
        <v>0.15</v>
      </c>
      <c r="M63" s="120" t="inlineStr">
        <is>
          <t>ADEME Base Empreinte (ratio indicatif)</t>
        </is>
      </c>
      <c r="N63" s="121" t="inlineStr"/>
    </row>
    <row r="64">
      <c r="A64" s="110" t="inlineStr">
        <is>
          <t>628800</t>
        </is>
      </c>
      <c r="B64" s="107" t="inlineStr">
        <is>
          <t>Déchets non dangereux</t>
        </is>
      </c>
      <c r="C64" s="116" t="inlineStr">
        <is>
          <t>Environnement</t>
        </is>
      </c>
      <c r="D64" s="90" t="inlineStr">
        <is>
          <t>Déchets</t>
        </is>
      </c>
      <c r="E64" s="117" t="inlineStr">
        <is>
          <t>E5</t>
        </is>
      </c>
      <c r="F64" s="87" t="inlineStr">
        <is>
          <t>Scope 3</t>
        </is>
      </c>
      <c r="G64" s="87" t="inlineStr">
        <is>
          <t>t</t>
        </is>
      </c>
      <c r="H64" s="87" t="inlineStr">
        <is>
          <t>MONETAIRE</t>
        </is>
      </c>
      <c r="I64" s="87" t="inlineStr">
        <is>
          <t>FIXE</t>
        </is>
      </c>
      <c r="J64" s="43" t="inlineStr"/>
      <c r="K64" s="43" t="inlineStr"/>
      <c r="L64" s="122" t="n">
        <v>0.2</v>
      </c>
      <c r="M64" s="120" t="inlineStr">
        <is>
          <t>ADEME Base Empreinte (ratio indicatif)</t>
        </is>
      </c>
      <c r="N64" s="121" t="inlineStr">
        <is>
          <t>Tonnage saisi en manuel</t>
        </is>
      </c>
    </row>
    <row r="65">
      <c r="A65" s="110" t="inlineStr">
        <is>
          <t>628810</t>
        </is>
      </c>
      <c r="B65" s="107" t="inlineStr">
        <is>
          <t>Recyclage papier/carton</t>
        </is>
      </c>
      <c r="C65" s="116" t="inlineStr">
        <is>
          <t>Environnement</t>
        </is>
      </c>
      <c r="D65" s="90" t="inlineStr">
        <is>
          <t>Déchets</t>
        </is>
      </c>
      <c r="E65" s="117" t="inlineStr">
        <is>
          <t>E5</t>
        </is>
      </c>
      <c r="F65" s="87" t="inlineStr">
        <is>
          <t>Scope 3</t>
        </is>
      </c>
      <c r="G65" s="87" t="inlineStr">
        <is>
          <t>t</t>
        </is>
      </c>
      <c r="H65" s="87" t="inlineStr">
        <is>
          <t>MONETAIRE</t>
        </is>
      </c>
      <c r="I65" s="87" t="inlineStr">
        <is>
          <t>FIXE</t>
        </is>
      </c>
      <c r="J65" s="43" t="inlineStr"/>
      <c r="K65" s="43" t="inlineStr"/>
      <c r="L65" s="122" t="n">
        <v>0.15</v>
      </c>
      <c r="M65" s="120" t="inlineStr">
        <is>
          <t>ADEME Base Empreinte (ratio indicatif)</t>
        </is>
      </c>
      <c r="N65" s="121" t="inlineStr"/>
    </row>
    <row r="66">
      <c r="A66" s="110" t="inlineStr">
        <is>
          <t>628820</t>
        </is>
      </c>
      <c r="B66" s="107" t="inlineStr">
        <is>
          <t>Recyclage DEEE</t>
        </is>
      </c>
      <c r="C66" s="116" t="inlineStr">
        <is>
          <t>Environnement</t>
        </is>
      </c>
      <c r="D66" s="90" t="inlineStr">
        <is>
          <t>Déchets</t>
        </is>
      </c>
      <c r="E66" s="117" t="inlineStr">
        <is>
          <t>E5</t>
        </is>
      </c>
      <c r="F66" s="87" t="inlineStr">
        <is>
          <t>Scope 3</t>
        </is>
      </c>
      <c r="G66" s="87" t="inlineStr">
        <is>
          <t>t</t>
        </is>
      </c>
      <c r="H66" s="87" t="inlineStr">
        <is>
          <t>MONETAIRE</t>
        </is>
      </c>
      <c r="I66" s="87" t="inlineStr">
        <is>
          <t>FIXE</t>
        </is>
      </c>
      <c r="J66" s="43" t="inlineStr"/>
      <c r="K66" s="43" t="inlineStr"/>
      <c r="L66" s="122" t="n">
        <v>0.2</v>
      </c>
      <c r="M66" s="120" t="inlineStr">
        <is>
          <t>ADEME Base Empreinte (ratio indicatif)</t>
        </is>
      </c>
      <c r="N66" s="121" t="inlineStr"/>
    </row>
    <row r="67">
      <c r="A67" s="110" t="inlineStr">
        <is>
          <t>628830</t>
        </is>
      </c>
      <c r="B67" s="107" t="inlineStr">
        <is>
          <t>Destruction documents</t>
        </is>
      </c>
      <c r="C67" s="116" t="inlineStr">
        <is>
          <t>Environnement</t>
        </is>
      </c>
      <c r="D67" s="90" t="inlineStr">
        <is>
          <t>Déchets</t>
        </is>
      </c>
      <c r="E67" s="117" t="inlineStr">
        <is>
          <t>E5</t>
        </is>
      </c>
      <c r="F67" s="87" t="inlineStr">
        <is>
          <t>Scope 3</t>
        </is>
      </c>
      <c r="G67" s="87" t="inlineStr">
        <is>
          <t>t</t>
        </is>
      </c>
      <c r="H67" s="87" t="inlineStr">
        <is>
          <t>MONETAIRE</t>
        </is>
      </c>
      <c r="I67" s="87" t="inlineStr">
        <is>
          <t>FIXE</t>
        </is>
      </c>
      <c r="J67" s="43" t="inlineStr"/>
      <c r="K67" s="43" t="inlineStr"/>
      <c r="L67" s="122" t="n">
        <v>0.2</v>
      </c>
      <c r="M67" s="120" t="inlineStr">
        <is>
          <t>ADEME Base Empreinte (ratio indicatif)</t>
        </is>
      </c>
      <c r="N67" s="121" t="inlineStr"/>
    </row>
    <row r="68">
      <c r="A68" s="110" t="inlineStr">
        <is>
          <t>628840</t>
        </is>
      </c>
      <c r="B68" s="107" t="inlineStr">
        <is>
          <t>Biodéchets / compost</t>
        </is>
      </c>
      <c r="C68" s="116" t="inlineStr">
        <is>
          <t>Environnement</t>
        </is>
      </c>
      <c r="D68" s="90" t="inlineStr">
        <is>
          <t>Déchets</t>
        </is>
      </c>
      <c r="E68" s="117" t="inlineStr">
        <is>
          <t>E5</t>
        </is>
      </c>
      <c r="F68" s="87" t="inlineStr">
        <is>
          <t>Scope 3</t>
        </is>
      </c>
      <c r="G68" s="87" t="inlineStr">
        <is>
          <t>t</t>
        </is>
      </c>
      <c r="H68" s="87" t="inlineStr">
        <is>
          <t>MONETAIRE</t>
        </is>
      </c>
      <c r="I68" s="87" t="inlineStr">
        <is>
          <t>FIXE</t>
        </is>
      </c>
      <c r="J68" s="43" t="inlineStr"/>
      <c r="K68" s="43" t="inlineStr"/>
      <c r="L68" s="122" t="n">
        <v>0.1</v>
      </c>
      <c r="M68" s="120" t="inlineStr">
        <is>
          <t>ADEME Base Empreinte (ratio indicatif)</t>
        </is>
      </c>
      <c r="N68" s="121" t="inlineStr"/>
    </row>
    <row r="69">
      <c r="A69" s="110" t="inlineStr">
        <is>
          <t>613200</t>
        </is>
      </c>
      <c r="B69" s="107" t="inlineStr">
        <is>
          <t>Locations immobilières</t>
        </is>
      </c>
      <c r="C69" s="123" t="inlineStr">
        <is>
          <t>Économique</t>
        </is>
      </c>
      <c r="D69" s="90" t="inlineStr">
        <is>
          <t>Immobilier</t>
        </is>
      </c>
      <c r="E69" s="124" t="inlineStr">
        <is>
          <t>—</t>
        </is>
      </c>
      <c r="F69" s="87" t="inlineStr">
        <is>
          <t>—</t>
        </is>
      </c>
      <c r="G69" s="87" t="inlineStr">
        <is>
          <t>—</t>
        </is>
      </c>
      <c r="H69" s="87" t="inlineStr">
        <is>
          <t>—</t>
        </is>
      </c>
      <c r="I69" s="87" t="inlineStr">
        <is>
          <t>FIXE</t>
        </is>
      </c>
      <c r="J69" s="43" t="inlineStr"/>
      <c r="K69" s="43" t="inlineStr"/>
      <c r="L69" s="119" t="inlineStr"/>
      <c r="M69" s="120" t="inlineStr">
        <is>
          <t>Bail</t>
        </is>
      </c>
      <c r="N69" s="121" t="inlineStr">
        <is>
          <t>Émissions via énergie (pas de double compte)</t>
        </is>
      </c>
    </row>
    <row r="70">
      <c r="A70" s="110" t="inlineStr">
        <is>
          <t>613500</t>
        </is>
      </c>
      <c r="B70" s="107" t="inlineStr">
        <is>
          <t>Locations diverses</t>
        </is>
      </c>
      <c r="C70" s="123" t="inlineStr">
        <is>
          <t>Économique</t>
        </is>
      </c>
      <c r="D70" s="90" t="inlineStr">
        <is>
          <t>Immobilier</t>
        </is>
      </c>
      <c r="E70" s="124" t="inlineStr">
        <is>
          <t>—</t>
        </is>
      </c>
      <c r="F70" s="87" t="inlineStr">
        <is>
          <t>—</t>
        </is>
      </c>
      <c r="G70" s="87" t="inlineStr">
        <is>
          <t>—</t>
        </is>
      </c>
      <c r="H70" s="87" t="inlineStr">
        <is>
          <t>—</t>
        </is>
      </c>
      <c r="I70" s="87" t="inlineStr">
        <is>
          <t>FIXE</t>
        </is>
      </c>
      <c r="J70" s="43" t="inlineStr"/>
      <c r="K70" s="43" t="inlineStr"/>
      <c r="L70" s="119" t="inlineStr"/>
      <c r="M70" s="120" t="inlineStr">
        <is>
          <t>Bail</t>
        </is>
      </c>
      <c r="N70" s="121" t="inlineStr"/>
    </row>
    <row r="71">
      <c r="A71" s="110" t="inlineStr">
        <is>
          <t>614000</t>
        </is>
      </c>
      <c r="B71" s="107" t="inlineStr">
        <is>
          <t>Charges locatives</t>
        </is>
      </c>
      <c r="C71" s="123" t="inlineStr">
        <is>
          <t>Économique</t>
        </is>
      </c>
      <c r="D71" s="90" t="inlineStr">
        <is>
          <t>Immobilier</t>
        </is>
      </c>
      <c r="E71" s="124" t="inlineStr">
        <is>
          <t>—</t>
        </is>
      </c>
      <c r="F71" s="87" t="inlineStr">
        <is>
          <t>—</t>
        </is>
      </c>
      <c r="G71" s="87" t="inlineStr">
        <is>
          <t>—</t>
        </is>
      </c>
      <c r="H71" s="87" t="inlineStr">
        <is>
          <t>—</t>
        </is>
      </c>
      <c r="I71" s="87" t="inlineStr">
        <is>
          <t>FIXE</t>
        </is>
      </c>
      <c r="J71" s="43" t="inlineStr"/>
      <c r="K71" s="43" t="inlineStr"/>
      <c r="L71" s="119" t="inlineStr"/>
      <c r="M71" s="120" t="inlineStr">
        <is>
          <t>Bail</t>
        </is>
      </c>
      <c r="N71" s="121" t="inlineStr"/>
    </row>
    <row r="72">
      <c r="A72" s="110" t="inlineStr">
        <is>
          <t>615200</t>
        </is>
      </c>
      <c r="B72" s="107" t="inlineStr">
        <is>
          <t>Entretien des locaux</t>
        </is>
      </c>
      <c r="C72" s="116" t="inlineStr">
        <is>
          <t>Environnement</t>
        </is>
      </c>
      <c r="D72" s="90" t="inlineStr">
        <is>
          <t>Achats</t>
        </is>
      </c>
      <c r="E72" s="117" t="inlineStr">
        <is>
          <t>E1</t>
        </is>
      </c>
      <c r="F72" s="87" t="inlineStr">
        <is>
          <t>Scope 3</t>
        </is>
      </c>
      <c r="G72" s="87" t="inlineStr">
        <is>
          <t>—</t>
        </is>
      </c>
      <c r="H72" s="87" t="inlineStr">
        <is>
          <t>MONETAIRE</t>
        </is>
      </c>
      <c r="I72" s="87" t="inlineStr">
        <is>
          <t>FIXE</t>
        </is>
      </c>
      <c r="J72" s="43" t="inlineStr"/>
      <c r="K72" s="43" t="inlineStr"/>
      <c r="L72" s="122" t="n">
        <v>0.2</v>
      </c>
      <c r="M72" s="120" t="inlineStr">
        <is>
          <t>ADEME Base Empreinte (ratio indicatif)</t>
        </is>
      </c>
      <c r="N72" s="121" t="inlineStr"/>
    </row>
    <row r="73">
      <c r="A73" s="110" t="inlineStr">
        <is>
          <t>615500</t>
        </is>
      </c>
      <c r="B73" s="107" t="inlineStr">
        <is>
          <t>Entretien mobilier</t>
        </is>
      </c>
      <c r="C73" s="116" t="inlineStr">
        <is>
          <t>Environnement</t>
        </is>
      </c>
      <c r="D73" s="90" t="inlineStr">
        <is>
          <t>Achats</t>
        </is>
      </c>
      <c r="E73" s="117" t="inlineStr">
        <is>
          <t>E1</t>
        </is>
      </c>
      <c r="F73" s="87" t="inlineStr">
        <is>
          <t>Scope 3</t>
        </is>
      </c>
      <c r="G73" s="87" t="inlineStr">
        <is>
          <t>—</t>
        </is>
      </c>
      <c r="H73" s="87" t="inlineStr">
        <is>
          <t>MONETAIRE</t>
        </is>
      </c>
      <c r="I73" s="87" t="inlineStr">
        <is>
          <t>FIXE</t>
        </is>
      </c>
      <c r="J73" s="43" t="inlineStr"/>
      <c r="K73" s="43" t="inlineStr"/>
      <c r="L73" s="122" t="n">
        <v>0.2</v>
      </c>
      <c r="M73" s="120" t="inlineStr">
        <is>
          <t>ADEME Base Empreinte (ratio indicatif)</t>
        </is>
      </c>
      <c r="N73" s="121" t="inlineStr"/>
    </row>
    <row r="74">
      <c r="A74" s="110" t="inlineStr">
        <is>
          <t>615600</t>
        </is>
      </c>
      <c r="B74" s="107" t="inlineStr">
        <is>
          <t>Maintenance informatique</t>
        </is>
      </c>
      <c r="C74" s="116" t="inlineStr">
        <is>
          <t>Environnement</t>
        </is>
      </c>
      <c r="D74" s="90" t="inlineStr">
        <is>
          <t>Numérique</t>
        </is>
      </c>
      <c r="E74" s="117" t="inlineStr">
        <is>
          <t>E1</t>
        </is>
      </c>
      <c r="F74" s="87" t="inlineStr">
        <is>
          <t>Scope 3</t>
        </is>
      </c>
      <c r="G74" s="87" t="inlineStr">
        <is>
          <t>—</t>
        </is>
      </c>
      <c r="H74" s="87" t="inlineStr">
        <is>
          <t>MONETAIRE</t>
        </is>
      </c>
      <c r="I74" s="87" t="inlineStr">
        <is>
          <t>FIXE</t>
        </is>
      </c>
      <c r="J74" s="43" t="inlineStr"/>
      <c r="K74" s="43" t="inlineStr"/>
      <c r="L74" s="122" t="n">
        <v>0.2</v>
      </c>
      <c r="M74" s="120" t="inlineStr">
        <is>
          <t>ADEME Base Empreinte (ratio indicatif)</t>
        </is>
      </c>
      <c r="N74" s="121" t="inlineStr"/>
    </row>
    <row r="75">
      <c r="A75" s="110" t="inlineStr">
        <is>
          <t>615700</t>
        </is>
      </c>
      <c r="B75" s="107" t="inlineStr">
        <is>
          <t>Maintenance énergie</t>
        </is>
      </c>
      <c r="C75" s="116" t="inlineStr">
        <is>
          <t>Environnement</t>
        </is>
      </c>
      <c r="D75" s="90" t="inlineStr">
        <is>
          <t>Énergie</t>
        </is>
      </c>
      <c r="E75" s="117" t="inlineStr">
        <is>
          <t>E1</t>
        </is>
      </c>
      <c r="F75" s="87" t="inlineStr">
        <is>
          <t>Scope 3</t>
        </is>
      </c>
      <c r="G75" s="87" t="inlineStr">
        <is>
          <t>—</t>
        </is>
      </c>
      <c r="H75" s="87" t="inlineStr">
        <is>
          <t>MONETAIRE</t>
        </is>
      </c>
      <c r="I75" s="87" t="inlineStr">
        <is>
          <t>FIXE</t>
        </is>
      </c>
      <c r="J75" s="43" t="inlineStr"/>
      <c r="K75" s="43" t="inlineStr"/>
      <c r="L75" s="122" t="n">
        <v>0.2</v>
      </c>
      <c r="M75" s="120" t="inlineStr">
        <is>
          <t>ADEME Base Empreinte (ratio indicatif)</t>
        </is>
      </c>
      <c r="N75" s="121" t="inlineStr"/>
    </row>
    <row r="76">
      <c r="A76" s="110" t="inlineStr">
        <is>
          <t>628200</t>
        </is>
      </c>
      <c r="B76" s="107" t="inlineStr">
        <is>
          <t>Nettoyage des locaux</t>
        </is>
      </c>
      <c r="C76" s="116" t="inlineStr">
        <is>
          <t>Environnement</t>
        </is>
      </c>
      <c r="D76" s="90" t="inlineStr">
        <is>
          <t>Achats</t>
        </is>
      </c>
      <c r="E76" s="117" t="inlineStr">
        <is>
          <t>E1</t>
        </is>
      </c>
      <c r="F76" s="87" t="inlineStr">
        <is>
          <t>Scope 3</t>
        </is>
      </c>
      <c r="G76" s="87" t="inlineStr">
        <is>
          <t>—</t>
        </is>
      </c>
      <c r="H76" s="87" t="inlineStr">
        <is>
          <t>MONETAIRE</t>
        </is>
      </c>
      <c r="I76" s="87" t="inlineStr">
        <is>
          <t>FIXE</t>
        </is>
      </c>
      <c r="J76" s="43" t="inlineStr"/>
      <c r="K76" s="43" t="inlineStr"/>
      <c r="L76" s="122" t="n">
        <v>0.2</v>
      </c>
      <c r="M76" s="120" t="inlineStr">
        <is>
          <t>ADEME Base Empreinte (ratio indicatif)</t>
        </is>
      </c>
      <c r="N76" s="121" t="inlineStr"/>
    </row>
    <row r="77">
      <c r="A77" s="110" t="inlineStr">
        <is>
          <t>641100</t>
        </is>
      </c>
      <c r="B77" s="107" t="inlineStr">
        <is>
          <t>Salaires &amp; appointements</t>
        </is>
      </c>
      <c r="C77" s="125" t="inlineStr">
        <is>
          <t>Social</t>
        </is>
      </c>
      <c r="D77" s="90" t="inlineStr">
        <is>
          <t>Emploi</t>
        </is>
      </c>
      <c r="E77" s="126" t="inlineStr">
        <is>
          <t>S1</t>
        </is>
      </c>
      <c r="F77" s="87" t="inlineStr">
        <is>
          <t>—</t>
        </is>
      </c>
      <c r="G77" s="87" t="inlineStr">
        <is>
          <t>€</t>
        </is>
      </c>
      <c r="H77" s="87" t="inlineStr">
        <is>
          <t>—</t>
        </is>
      </c>
      <c r="I77" s="87" t="inlineStr">
        <is>
          <t>FIXE</t>
        </is>
      </c>
      <c r="J77" s="43" t="inlineStr"/>
      <c r="K77" s="43" t="inlineStr"/>
      <c r="L77" s="119" t="inlineStr"/>
      <c r="M77" s="120" t="inlineStr">
        <is>
          <t>FEC 641</t>
        </is>
      </c>
      <c r="N77" s="121" t="inlineStr">
        <is>
          <t>Masse salariale brute</t>
        </is>
      </c>
    </row>
    <row r="78">
      <c r="A78" s="110" t="inlineStr">
        <is>
          <t>641200</t>
        </is>
      </c>
      <c r="B78" s="107" t="inlineStr">
        <is>
          <t>Congés payés</t>
        </is>
      </c>
      <c r="C78" s="125" t="inlineStr">
        <is>
          <t>Social</t>
        </is>
      </c>
      <c r="D78" s="90" t="inlineStr">
        <is>
          <t>Emploi</t>
        </is>
      </c>
      <c r="E78" s="126" t="inlineStr">
        <is>
          <t>S1</t>
        </is>
      </c>
      <c r="F78" s="87" t="inlineStr">
        <is>
          <t>—</t>
        </is>
      </c>
      <c r="G78" s="87" t="inlineStr">
        <is>
          <t>€</t>
        </is>
      </c>
      <c r="H78" s="87" t="inlineStr">
        <is>
          <t>—</t>
        </is>
      </c>
      <c r="I78" s="87" t="inlineStr">
        <is>
          <t>FIXE</t>
        </is>
      </c>
      <c r="J78" s="43" t="inlineStr"/>
      <c r="K78" s="43" t="inlineStr"/>
      <c r="L78" s="119" t="inlineStr"/>
      <c r="M78" s="120" t="inlineStr">
        <is>
          <t>FEC 641</t>
        </is>
      </c>
      <c r="N78" s="121" t="inlineStr"/>
    </row>
    <row r="79">
      <c r="A79" s="110" t="inlineStr">
        <is>
          <t>641300</t>
        </is>
      </c>
      <c r="B79" s="107" t="inlineStr">
        <is>
          <t>Primes &amp; gratifications</t>
        </is>
      </c>
      <c r="C79" s="125" t="inlineStr">
        <is>
          <t>Social</t>
        </is>
      </c>
      <c r="D79" s="90" t="inlineStr">
        <is>
          <t>Rémunération</t>
        </is>
      </c>
      <c r="E79" s="126" t="inlineStr">
        <is>
          <t>S1</t>
        </is>
      </c>
      <c r="F79" s="87" t="inlineStr">
        <is>
          <t>—</t>
        </is>
      </c>
      <c r="G79" s="87" t="inlineStr">
        <is>
          <t>€</t>
        </is>
      </c>
      <c r="H79" s="87" t="inlineStr">
        <is>
          <t>—</t>
        </is>
      </c>
      <c r="I79" s="87" t="inlineStr">
        <is>
          <t>FIXE</t>
        </is>
      </c>
      <c r="J79" s="43" t="inlineStr"/>
      <c r="K79" s="43" t="inlineStr"/>
      <c r="L79" s="119" t="inlineStr"/>
      <c r="M79" s="120" t="inlineStr">
        <is>
          <t>FEC 641</t>
        </is>
      </c>
      <c r="N79" s="121" t="inlineStr"/>
    </row>
    <row r="80">
      <c r="A80" s="110" t="inlineStr">
        <is>
          <t>641</t>
        </is>
      </c>
      <c r="B80" s="107" t="inlineStr">
        <is>
          <t>Rémunérations (autres)</t>
        </is>
      </c>
      <c r="C80" s="125" t="inlineStr">
        <is>
          <t>Social</t>
        </is>
      </c>
      <c r="D80" s="90" t="inlineStr">
        <is>
          <t>Emploi</t>
        </is>
      </c>
      <c r="E80" s="126" t="inlineStr">
        <is>
          <t>S1</t>
        </is>
      </c>
      <c r="F80" s="87" t="inlineStr">
        <is>
          <t>—</t>
        </is>
      </c>
      <c r="G80" s="87" t="inlineStr">
        <is>
          <t>€</t>
        </is>
      </c>
      <c r="H80" s="87" t="inlineStr">
        <is>
          <t>—</t>
        </is>
      </c>
      <c r="I80" s="87" t="inlineStr">
        <is>
          <t>FIXE</t>
        </is>
      </c>
      <c r="J80" s="43" t="inlineStr"/>
      <c r="K80" s="43" t="inlineStr"/>
      <c r="L80" s="119" t="inlineStr"/>
      <c r="M80" s="120" t="inlineStr">
        <is>
          <t>FEC 641</t>
        </is>
      </c>
      <c r="N80" s="121" t="inlineStr"/>
    </row>
    <row r="81">
      <c r="A81" s="110" t="inlineStr">
        <is>
          <t>645</t>
        </is>
      </c>
      <c r="B81" s="107" t="inlineStr">
        <is>
          <t>Charges sociales</t>
        </is>
      </c>
      <c r="C81" s="125" t="inlineStr">
        <is>
          <t>Social</t>
        </is>
      </c>
      <c r="D81" s="90" t="inlineStr">
        <is>
          <t>Protection sociale</t>
        </is>
      </c>
      <c r="E81" s="126" t="inlineStr">
        <is>
          <t>S1</t>
        </is>
      </c>
      <c r="F81" s="87" t="inlineStr">
        <is>
          <t>—</t>
        </is>
      </c>
      <c r="G81" s="87" t="inlineStr">
        <is>
          <t>€</t>
        </is>
      </c>
      <c r="H81" s="87" t="inlineStr">
        <is>
          <t>—</t>
        </is>
      </c>
      <c r="I81" s="87" t="inlineStr">
        <is>
          <t>FIXE</t>
        </is>
      </c>
      <c r="J81" s="43" t="inlineStr"/>
      <c r="K81" s="43" t="inlineStr"/>
      <c r="L81" s="119" t="inlineStr"/>
      <c r="M81" s="120" t="inlineStr">
        <is>
          <t>FEC 645</t>
        </is>
      </c>
      <c r="N81" s="121" t="inlineStr">
        <is>
          <t>Cotisations employeur</t>
        </is>
      </c>
    </row>
    <row r="82">
      <c r="A82" s="110" t="inlineStr">
        <is>
          <t>647100</t>
        </is>
      </c>
      <c r="B82" s="107" t="inlineStr">
        <is>
          <t>Titres restaurant</t>
        </is>
      </c>
      <c r="C82" s="125" t="inlineStr">
        <is>
          <t>Social</t>
        </is>
      </c>
      <c r="D82" s="90" t="inlineStr">
        <is>
          <t>Avantages</t>
        </is>
      </c>
      <c r="E82" s="126" t="inlineStr">
        <is>
          <t>S1</t>
        </is>
      </c>
      <c r="F82" s="87" t="inlineStr">
        <is>
          <t>—</t>
        </is>
      </c>
      <c r="G82" s="87" t="inlineStr">
        <is>
          <t>€</t>
        </is>
      </c>
      <c r="H82" s="87" t="inlineStr">
        <is>
          <t>—</t>
        </is>
      </c>
      <c r="I82" s="87" t="inlineStr">
        <is>
          <t>FIXE</t>
        </is>
      </c>
      <c r="J82" s="43" t="inlineStr"/>
      <c r="K82" s="43" t="inlineStr"/>
      <c r="L82" s="119" t="inlineStr"/>
      <c r="M82" s="120" t="inlineStr">
        <is>
          <t>FEC 647</t>
        </is>
      </c>
      <c r="N82" s="121" t="inlineStr"/>
    </row>
    <row r="83">
      <c r="A83" s="110" t="inlineStr">
        <is>
          <t>647200</t>
        </is>
      </c>
      <c r="B83" s="107" t="inlineStr">
        <is>
          <t>Forfait mobilités durables</t>
        </is>
      </c>
      <c r="C83" s="125" t="inlineStr">
        <is>
          <t>Social</t>
        </is>
      </c>
      <c r="D83" s="90" t="inlineStr">
        <is>
          <t>Avantages</t>
        </is>
      </c>
      <c r="E83" s="126" t="inlineStr">
        <is>
          <t>S1</t>
        </is>
      </c>
      <c r="F83" s="87" t="inlineStr">
        <is>
          <t>—</t>
        </is>
      </c>
      <c r="G83" s="87" t="inlineStr">
        <is>
          <t>€</t>
        </is>
      </c>
      <c r="H83" s="87" t="inlineStr">
        <is>
          <t>—</t>
        </is>
      </c>
      <c r="I83" s="87" t="inlineStr">
        <is>
          <t>FIXE</t>
        </is>
      </c>
      <c r="J83" s="43" t="inlineStr"/>
      <c r="K83" s="43" t="inlineStr"/>
      <c r="L83" s="119" t="inlineStr"/>
      <c r="M83" s="120" t="inlineStr">
        <is>
          <t>FEC 647</t>
        </is>
      </c>
      <c r="N83" s="121" t="inlineStr">
        <is>
          <t>Mobilité domicile-travail</t>
        </is>
      </c>
    </row>
    <row r="84">
      <c r="A84" s="110" t="inlineStr">
        <is>
          <t>647300</t>
        </is>
      </c>
      <c r="B84" s="107" t="inlineStr">
        <is>
          <t>Médecine du travail</t>
        </is>
      </c>
      <c r="C84" s="125" t="inlineStr">
        <is>
          <t>Social</t>
        </is>
      </c>
      <c r="D84" s="90" t="inlineStr">
        <is>
          <t>Santé/sécurité</t>
        </is>
      </c>
      <c r="E84" s="126" t="inlineStr">
        <is>
          <t>S1</t>
        </is>
      </c>
      <c r="F84" s="87" t="inlineStr">
        <is>
          <t>—</t>
        </is>
      </c>
      <c r="G84" s="87" t="inlineStr">
        <is>
          <t>€</t>
        </is>
      </c>
      <c r="H84" s="87" t="inlineStr">
        <is>
          <t>—</t>
        </is>
      </c>
      <c r="I84" s="87" t="inlineStr">
        <is>
          <t>FIXE</t>
        </is>
      </c>
      <c r="J84" s="43" t="inlineStr"/>
      <c r="K84" s="43" t="inlineStr"/>
      <c r="L84" s="119" t="inlineStr"/>
      <c r="M84" s="120" t="inlineStr">
        <is>
          <t>FEC 647</t>
        </is>
      </c>
      <c r="N84" s="121" t="inlineStr"/>
    </row>
    <row r="85">
      <c r="A85" s="110" t="inlineStr">
        <is>
          <t>647400</t>
        </is>
      </c>
      <c r="B85" s="107" t="inlineStr">
        <is>
          <t>Actions QVCT / prévention</t>
        </is>
      </c>
      <c r="C85" s="125" t="inlineStr">
        <is>
          <t>Social</t>
        </is>
      </c>
      <c r="D85" s="90" t="inlineStr">
        <is>
          <t>Santé/sécurité</t>
        </is>
      </c>
      <c r="E85" s="126" t="inlineStr">
        <is>
          <t>S1</t>
        </is>
      </c>
      <c r="F85" s="87" t="inlineStr">
        <is>
          <t>—</t>
        </is>
      </c>
      <c r="G85" s="87" t="inlineStr">
        <is>
          <t>€</t>
        </is>
      </c>
      <c r="H85" s="87" t="inlineStr">
        <is>
          <t>—</t>
        </is>
      </c>
      <c r="I85" s="87" t="inlineStr">
        <is>
          <t>FIXE</t>
        </is>
      </c>
      <c r="J85" s="43" t="inlineStr"/>
      <c r="K85" s="43" t="inlineStr"/>
      <c r="L85" s="119" t="inlineStr"/>
      <c r="M85" s="120" t="inlineStr">
        <is>
          <t>FEC 647</t>
        </is>
      </c>
      <c r="N85" s="121" t="inlineStr"/>
    </row>
    <row r="86">
      <c r="A86" s="110" t="inlineStr">
        <is>
          <t>647500</t>
        </is>
      </c>
      <c r="B86" s="107" t="inlineStr">
        <is>
          <t>Versements au CSE</t>
        </is>
      </c>
      <c r="C86" s="125" t="inlineStr">
        <is>
          <t>Social</t>
        </is>
      </c>
      <c r="D86" s="90" t="inlineStr">
        <is>
          <t>Dialogue social</t>
        </is>
      </c>
      <c r="E86" s="126" t="inlineStr">
        <is>
          <t>S1</t>
        </is>
      </c>
      <c r="F86" s="87" t="inlineStr">
        <is>
          <t>—</t>
        </is>
      </c>
      <c r="G86" s="87" t="inlineStr">
        <is>
          <t>€</t>
        </is>
      </c>
      <c r="H86" s="87" t="inlineStr">
        <is>
          <t>—</t>
        </is>
      </c>
      <c r="I86" s="87" t="inlineStr">
        <is>
          <t>FIXE</t>
        </is>
      </c>
      <c r="J86" s="43" t="inlineStr"/>
      <c r="K86" s="43" t="inlineStr"/>
      <c r="L86" s="119" t="inlineStr"/>
      <c r="M86" s="120" t="inlineStr">
        <is>
          <t>FEC 647</t>
        </is>
      </c>
      <c r="N86" s="121" t="inlineStr"/>
    </row>
    <row r="87">
      <c r="A87" s="110" t="inlineStr">
        <is>
          <t>647</t>
        </is>
      </c>
      <c r="B87" s="107" t="inlineStr">
        <is>
          <t>Autres avantages personnel</t>
        </is>
      </c>
      <c r="C87" s="125" t="inlineStr">
        <is>
          <t>Social</t>
        </is>
      </c>
      <c r="D87" s="90" t="inlineStr">
        <is>
          <t>Avantages</t>
        </is>
      </c>
      <c r="E87" s="126" t="inlineStr">
        <is>
          <t>S1</t>
        </is>
      </c>
      <c r="F87" s="87" t="inlineStr">
        <is>
          <t>—</t>
        </is>
      </c>
      <c r="G87" s="87" t="inlineStr">
        <is>
          <t>€</t>
        </is>
      </c>
      <c r="H87" s="87" t="inlineStr">
        <is>
          <t>—</t>
        </is>
      </c>
      <c r="I87" s="87" t="inlineStr">
        <is>
          <t>FIXE</t>
        </is>
      </c>
      <c r="J87" s="43" t="inlineStr"/>
      <c r="K87" s="43" t="inlineStr"/>
      <c r="L87" s="119" t="inlineStr"/>
      <c r="M87" s="120" t="inlineStr">
        <is>
          <t>FEC 647</t>
        </is>
      </c>
      <c r="N87" s="121" t="inlineStr"/>
    </row>
    <row r="88">
      <c r="A88" s="110" t="inlineStr">
        <is>
          <t>648</t>
        </is>
      </c>
      <c r="B88" s="107" t="inlineStr">
        <is>
          <t>Autres charges de personnel</t>
        </is>
      </c>
      <c r="C88" s="125" t="inlineStr">
        <is>
          <t>Social</t>
        </is>
      </c>
      <c r="D88" s="90" t="inlineStr">
        <is>
          <t>Emploi</t>
        </is>
      </c>
      <c r="E88" s="126" t="inlineStr">
        <is>
          <t>S1</t>
        </is>
      </c>
      <c r="F88" s="87" t="inlineStr">
        <is>
          <t>—</t>
        </is>
      </c>
      <c r="G88" s="87" t="inlineStr">
        <is>
          <t>€</t>
        </is>
      </c>
      <c r="H88" s="87" t="inlineStr">
        <is>
          <t>—</t>
        </is>
      </c>
      <c r="I88" s="87" t="inlineStr">
        <is>
          <t>FIXE</t>
        </is>
      </c>
      <c r="J88" s="43" t="inlineStr"/>
      <c r="K88" s="43" t="inlineStr"/>
      <c r="L88" s="119" t="inlineStr"/>
      <c r="M88" s="120" t="inlineStr">
        <is>
          <t>FEC 648</t>
        </is>
      </c>
      <c r="N88" s="121" t="inlineStr"/>
    </row>
    <row r="89">
      <c r="A89" s="110" t="inlineStr">
        <is>
          <t>633100</t>
        </is>
      </c>
      <c r="B89" s="107" t="inlineStr">
        <is>
          <t>Versement mobilité</t>
        </is>
      </c>
      <c r="C89" s="125" t="inlineStr">
        <is>
          <t>Social</t>
        </is>
      </c>
      <c r="D89" s="90" t="inlineStr">
        <is>
          <t>Fiscalité RH</t>
        </is>
      </c>
      <c r="E89" s="126" t="inlineStr">
        <is>
          <t>S1</t>
        </is>
      </c>
      <c r="F89" s="87" t="inlineStr">
        <is>
          <t>—</t>
        </is>
      </c>
      <c r="G89" s="87" t="inlineStr">
        <is>
          <t>€</t>
        </is>
      </c>
      <c r="H89" s="87" t="inlineStr">
        <is>
          <t>—</t>
        </is>
      </c>
      <c r="I89" s="87" t="inlineStr">
        <is>
          <t>FIXE</t>
        </is>
      </c>
      <c r="J89" s="43" t="inlineStr"/>
      <c r="K89" s="43" t="inlineStr"/>
      <c r="L89" s="119" t="inlineStr"/>
      <c r="M89" s="120" t="inlineStr">
        <is>
          <t>FEC 633</t>
        </is>
      </c>
      <c r="N89" s="121" t="inlineStr"/>
    </row>
    <row r="90">
      <c r="A90" s="110" t="inlineStr">
        <is>
          <t>633300</t>
        </is>
      </c>
      <c r="B90" s="107" t="inlineStr">
        <is>
          <t>Contribution formation</t>
        </is>
      </c>
      <c r="C90" s="125" t="inlineStr">
        <is>
          <t>Social</t>
        </is>
      </c>
      <c r="D90" s="90" t="inlineStr">
        <is>
          <t>Formation</t>
        </is>
      </c>
      <c r="E90" s="126" t="inlineStr">
        <is>
          <t>S1</t>
        </is>
      </c>
      <c r="F90" s="87" t="inlineStr">
        <is>
          <t>—</t>
        </is>
      </c>
      <c r="G90" s="87" t="inlineStr">
        <is>
          <t>€</t>
        </is>
      </c>
      <c r="H90" s="87" t="inlineStr">
        <is>
          <t>—</t>
        </is>
      </c>
      <c r="I90" s="87" t="inlineStr">
        <is>
          <t>FIXE</t>
        </is>
      </c>
      <c r="J90" s="43" t="inlineStr"/>
      <c r="K90" s="43" t="inlineStr"/>
      <c r="L90" s="119" t="inlineStr"/>
      <c r="M90" s="120" t="inlineStr">
        <is>
          <t>FEC 633</t>
        </is>
      </c>
      <c r="N90" s="121" t="inlineStr">
        <is>
          <t>Effort formation</t>
        </is>
      </c>
    </row>
    <row r="91">
      <c r="A91" s="110" t="inlineStr">
        <is>
          <t>633500</t>
        </is>
      </c>
      <c r="B91" s="107" t="inlineStr">
        <is>
          <t>Taxe apprentissage</t>
        </is>
      </c>
      <c r="C91" s="125" t="inlineStr">
        <is>
          <t>Social</t>
        </is>
      </c>
      <c r="D91" s="90" t="inlineStr">
        <is>
          <t>Formation</t>
        </is>
      </c>
      <c r="E91" s="126" t="inlineStr">
        <is>
          <t>S1</t>
        </is>
      </c>
      <c r="F91" s="87" t="inlineStr">
        <is>
          <t>—</t>
        </is>
      </c>
      <c r="G91" s="87" t="inlineStr">
        <is>
          <t>€</t>
        </is>
      </c>
      <c r="H91" s="87" t="inlineStr">
        <is>
          <t>—</t>
        </is>
      </c>
      <c r="I91" s="87" t="inlineStr">
        <is>
          <t>FIXE</t>
        </is>
      </c>
      <c r="J91" s="43" t="inlineStr"/>
      <c r="K91" s="43" t="inlineStr"/>
      <c r="L91" s="119" t="inlineStr"/>
      <c r="M91" s="120" t="inlineStr">
        <is>
          <t>FEC 633</t>
        </is>
      </c>
      <c r="N91" s="121" t="inlineStr"/>
    </row>
    <row r="92">
      <c r="A92" s="110" t="inlineStr">
        <is>
          <t>622650</t>
        </is>
      </c>
      <c r="B92" s="107" t="inlineStr">
        <is>
          <t>Conseil RH / diversité</t>
        </is>
      </c>
      <c r="C92" s="125" t="inlineStr">
        <is>
          <t>Social</t>
        </is>
      </c>
      <c r="D92" s="90" t="inlineStr">
        <is>
          <t>Diversité</t>
        </is>
      </c>
      <c r="E92" s="126" t="inlineStr">
        <is>
          <t>S1</t>
        </is>
      </c>
      <c r="F92" s="87" t="inlineStr">
        <is>
          <t>—</t>
        </is>
      </c>
      <c r="G92" s="87" t="inlineStr">
        <is>
          <t>€</t>
        </is>
      </c>
      <c r="H92" s="87" t="inlineStr">
        <is>
          <t>—</t>
        </is>
      </c>
      <c r="I92" s="87" t="inlineStr">
        <is>
          <t>FIXE</t>
        </is>
      </c>
      <c r="J92" s="43" t="inlineStr"/>
      <c r="K92" s="43" t="inlineStr"/>
      <c r="L92" s="119" t="inlineStr"/>
      <c r="M92" s="120" t="inlineStr">
        <is>
          <t>FEC 622</t>
        </is>
      </c>
      <c r="N92" s="121" t="inlineStr">
        <is>
          <t>Action diversité/inclusion</t>
        </is>
      </c>
    </row>
    <row r="93">
      <c r="A93" s="110" t="inlineStr">
        <is>
          <t>628400</t>
        </is>
      </c>
      <c r="B93" s="107" t="inlineStr">
        <is>
          <t>Frais de recrutement</t>
        </is>
      </c>
      <c r="C93" s="125" t="inlineStr">
        <is>
          <t>Social</t>
        </is>
      </c>
      <c r="D93" s="90" t="inlineStr">
        <is>
          <t>Emploi</t>
        </is>
      </c>
      <c r="E93" s="126" t="inlineStr">
        <is>
          <t>S1</t>
        </is>
      </c>
      <c r="F93" s="87" t="inlineStr">
        <is>
          <t>—</t>
        </is>
      </c>
      <c r="G93" s="87" t="inlineStr">
        <is>
          <t>€</t>
        </is>
      </c>
      <c r="H93" s="87" t="inlineStr">
        <is>
          <t>—</t>
        </is>
      </c>
      <c r="I93" s="87" t="inlineStr">
        <is>
          <t>FIXE</t>
        </is>
      </c>
      <c r="J93" s="43" t="inlineStr"/>
      <c r="K93" s="43" t="inlineStr"/>
      <c r="L93" s="119" t="inlineStr"/>
      <c r="M93" s="120" t="inlineStr">
        <is>
          <t>FEC 628</t>
        </is>
      </c>
      <c r="N93" s="121" t="inlineStr"/>
    </row>
    <row r="94">
      <c r="A94" s="110" t="inlineStr">
        <is>
          <t>622610</t>
        </is>
      </c>
      <c r="B94" s="107" t="inlineStr">
        <is>
          <t>Honoraires comptables</t>
        </is>
      </c>
      <c r="C94" s="127" t="inlineStr">
        <is>
          <t>Gouvernance</t>
        </is>
      </c>
      <c r="D94" s="90" t="inlineStr">
        <is>
          <t>Conformité</t>
        </is>
      </c>
      <c r="E94" s="128" t="inlineStr">
        <is>
          <t>G1</t>
        </is>
      </c>
      <c r="F94" s="87" t="inlineStr">
        <is>
          <t>—</t>
        </is>
      </c>
      <c r="G94" s="87" t="inlineStr">
        <is>
          <t>€</t>
        </is>
      </c>
      <c r="H94" s="87" t="inlineStr">
        <is>
          <t>—</t>
        </is>
      </c>
      <c r="I94" s="87" t="inlineStr">
        <is>
          <t>FIXE</t>
        </is>
      </c>
      <c r="J94" s="43" t="inlineStr"/>
      <c r="K94" s="43" t="inlineStr"/>
      <c r="L94" s="119" t="inlineStr"/>
      <c r="M94" s="120" t="inlineStr">
        <is>
          <t>FEC 622</t>
        </is>
      </c>
      <c r="N94" s="121" t="inlineStr"/>
    </row>
    <row r="95">
      <c r="A95" s="110" t="inlineStr">
        <is>
          <t>622620</t>
        </is>
      </c>
      <c r="B95" s="107" t="inlineStr">
        <is>
          <t>Honoraires juridiques</t>
        </is>
      </c>
      <c r="C95" s="127" t="inlineStr">
        <is>
          <t>Gouvernance</t>
        </is>
      </c>
      <c r="D95" s="90" t="inlineStr">
        <is>
          <t>Conformité</t>
        </is>
      </c>
      <c r="E95" s="128" t="inlineStr">
        <is>
          <t>G1</t>
        </is>
      </c>
      <c r="F95" s="87" t="inlineStr">
        <is>
          <t>—</t>
        </is>
      </c>
      <c r="G95" s="87" t="inlineStr">
        <is>
          <t>€</t>
        </is>
      </c>
      <c r="H95" s="87" t="inlineStr">
        <is>
          <t>—</t>
        </is>
      </c>
      <c r="I95" s="87" t="inlineStr">
        <is>
          <t>FIXE</t>
        </is>
      </c>
      <c r="J95" s="43" t="inlineStr"/>
      <c r="K95" s="43" t="inlineStr"/>
      <c r="L95" s="119" t="inlineStr"/>
      <c r="M95" s="120" t="inlineStr">
        <is>
          <t>FEC 622</t>
        </is>
      </c>
      <c r="N95" s="121" t="inlineStr"/>
    </row>
    <row r="96">
      <c r="A96" s="110" t="inlineStr">
        <is>
          <t>622630</t>
        </is>
      </c>
      <c r="B96" s="107" t="inlineStr">
        <is>
          <t>Conseil climat / ESG</t>
        </is>
      </c>
      <c r="C96" s="127" t="inlineStr">
        <is>
          <t>Gouvernance</t>
        </is>
      </c>
      <c r="D96" s="90" t="inlineStr">
        <is>
          <t>Pilotage ESG</t>
        </is>
      </c>
      <c r="E96" s="128" t="inlineStr">
        <is>
          <t>G1</t>
        </is>
      </c>
      <c r="F96" s="87" t="inlineStr">
        <is>
          <t>—</t>
        </is>
      </c>
      <c r="G96" s="87" t="inlineStr">
        <is>
          <t>€</t>
        </is>
      </c>
      <c r="H96" s="87" t="inlineStr">
        <is>
          <t>—</t>
        </is>
      </c>
      <c r="I96" s="87" t="inlineStr">
        <is>
          <t>FIXE</t>
        </is>
      </c>
      <c r="J96" s="43" t="inlineStr"/>
      <c r="K96" s="43" t="inlineStr"/>
      <c r="L96" s="119" t="inlineStr"/>
      <c r="M96" s="120" t="inlineStr">
        <is>
          <t>FEC 622</t>
        </is>
      </c>
      <c r="N96" s="121" t="inlineStr">
        <is>
          <t>Dépense de pilotage durabilité</t>
        </is>
      </c>
    </row>
    <row r="97">
      <c r="A97" s="110" t="inlineStr">
        <is>
          <t>622500</t>
        </is>
      </c>
      <c r="B97" s="107" t="inlineStr">
        <is>
          <t>Affacturage</t>
        </is>
      </c>
      <c r="C97" s="127" t="inlineStr">
        <is>
          <t>Gouvernance</t>
        </is>
      </c>
      <c r="D97" s="90" t="inlineStr">
        <is>
          <t>Finance</t>
        </is>
      </c>
      <c r="E97" s="128" t="inlineStr">
        <is>
          <t>G1</t>
        </is>
      </c>
      <c r="F97" s="87" t="inlineStr">
        <is>
          <t>—</t>
        </is>
      </c>
      <c r="G97" s="87" t="inlineStr">
        <is>
          <t>€</t>
        </is>
      </c>
      <c r="H97" s="87" t="inlineStr">
        <is>
          <t>—</t>
        </is>
      </c>
      <c r="I97" s="87" t="inlineStr">
        <is>
          <t>FIXE</t>
        </is>
      </c>
      <c r="J97" s="43" t="inlineStr"/>
      <c r="K97" s="43" t="inlineStr"/>
      <c r="L97" s="119" t="inlineStr"/>
      <c r="M97" s="120" t="inlineStr">
        <is>
          <t>FEC 622</t>
        </is>
      </c>
      <c r="N97" s="121" t="inlineStr"/>
    </row>
    <row r="98">
      <c r="A98" s="110" t="inlineStr">
        <is>
          <t>622</t>
        </is>
      </c>
      <c r="B98" s="107" t="inlineStr">
        <is>
          <t>Honoraires (autres)</t>
        </is>
      </c>
      <c r="C98" s="127" t="inlineStr">
        <is>
          <t>Gouvernance</t>
        </is>
      </c>
      <c r="D98" s="90" t="inlineStr">
        <is>
          <t>Conformité</t>
        </is>
      </c>
      <c r="E98" s="128" t="inlineStr">
        <is>
          <t>G1</t>
        </is>
      </c>
      <c r="F98" s="87" t="inlineStr">
        <is>
          <t>—</t>
        </is>
      </c>
      <c r="G98" s="87" t="inlineStr">
        <is>
          <t>€</t>
        </is>
      </c>
      <c r="H98" s="87" t="inlineStr">
        <is>
          <t>—</t>
        </is>
      </c>
      <c r="I98" s="87" t="inlineStr">
        <is>
          <t>FIXE</t>
        </is>
      </c>
      <c r="J98" s="43" t="inlineStr"/>
      <c r="K98" s="43" t="inlineStr"/>
      <c r="L98" s="119" t="inlineStr"/>
      <c r="M98" s="120" t="inlineStr">
        <is>
          <t>FEC 622</t>
        </is>
      </c>
      <c r="N98" s="121" t="inlineStr"/>
    </row>
    <row r="99">
      <c r="A99" s="110" t="inlineStr">
        <is>
          <t>616100</t>
        </is>
      </c>
      <c r="B99" s="107" t="inlineStr">
        <is>
          <t>Assurance multirisque</t>
        </is>
      </c>
      <c r="C99" s="127" t="inlineStr">
        <is>
          <t>Gouvernance</t>
        </is>
      </c>
      <c r="D99" s="90" t="inlineStr">
        <is>
          <t>Risques</t>
        </is>
      </c>
      <c r="E99" s="128" t="inlineStr">
        <is>
          <t>G1</t>
        </is>
      </c>
      <c r="F99" s="87" t="inlineStr">
        <is>
          <t>—</t>
        </is>
      </c>
      <c r="G99" s="87" t="inlineStr">
        <is>
          <t>€</t>
        </is>
      </c>
      <c r="H99" s="87" t="inlineStr">
        <is>
          <t>—</t>
        </is>
      </c>
      <c r="I99" s="87" t="inlineStr">
        <is>
          <t>FIXE</t>
        </is>
      </c>
      <c r="J99" s="43" t="inlineStr"/>
      <c r="K99" s="43" t="inlineStr"/>
      <c r="L99" s="119" t="inlineStr"/>
      <c r="M99" s="120" t="inlineStr">
        <is>
          <t>FEC 616</t>
        </is>
      </c>
      <c r="N99" s="121" t="inlineStr"/>
    </row>
    <row r="100">
      <c r="A100" s="110" t="inlineStr">
        <is>
          <t>616300</t>
        </is>
      </c>
      <c r="B100" s="107" t="inlineStr">
        <is>
          <t>Assurance transport</t>
        </is>
      </c>
      <c r="C100" s="127" t="inlineStr">
        <is>
          <t>Gouvernance</t>
        </is>
      </c>
      <c r="D100" s="90" t="inlineStr">
        <is>
          <t>Risques</t>
        </is>
      </c>
      <c r="E100" s="128" t="inlineStr">
        <is>
          <t>G1</t>
        </is>
      </c>
      <c r="F100" s="87" t="inlineStr">
        <is>
          <t>—</t>
        </is>
      </c>
      <c r="G100" s="87" t="inlineStr">
        <is>
          <t>€</t>
        </is>
      </c>
      <c r="H100" s="87" t="inlineStr">
        <is>
          <t>—</t>
        </is>
      </c>
      <c r="I100" s="87" t="inlineStr">
        <is>
          <t>FIXE</t>
        </is>
      </c>
      <c r="J100" s="43" t="inlineStr"/>
      <c r="K100" s="43" t="inlineStr"/>
      <c r="L100" s="119" t="inlineStr"/>
      <c r="M100" s="120" t="inlineStr">
        <is>
          <t>FEC 616</t>
        </is>
      </c>
      <c r="N100" s="121" t="inlineStr"/>
    </row>
    <row r="101">
      <c r="A101" s="110" t="inlineStr">
        <is>
          <t>616400</t>
        </is>
      </c>
      <c r="B101" s="107" t="inlineStr">
        <is>
          <t>Assurance cyber/exploit.</t>
        </is>
      </c>
      <c r="C101" s="127" t="inlineStr">
        <is>
          <t>Gouvernance</t>
        </is>
      </c>
      <c r="D101" s="90" t="inlineStr">
        <is>
          <t>Risques</t>
        </is>
      </c>
      <c r="E101" s="128" t="inlineStr">
        <is>
          <t>G1</t>
        </is>
      </c>
      <c r="F101" s="87" t="inlineStr">
        <is>
          <t>—</t>
        </is>
      </c>
      <c r="G101" s="87" t="inlineStr">
        <is>
          <t>€</t>
        </is>
      </c>
      <c r="H101" s="87" t="inlineStr">
        <is>
          <t>—</t>
        </is>
      </c>
      <c r="I101" s="87" t="inlineStr">
        <is>
          <t>FIXE</t>
        </is>
      </c>
      <c r="J101" s="43" t="inlineStr"/>
      <c r="K101" s="43" t="inlineStr"/>
      <c r="L101" s="119" t="inlineStr"/>
      <c r="M101" s="120" t="inlineStr">
        <is>
          <t>FEC 616</t>
        </is>
      </c>
      <c r="N101" s="121" t="inlineStr">
        <is>
          <t>Couverture cyber</t>
        </is>
      </c>
    </row>
    <row r="102">
      <c r="A102" s="110" t="inlineStr">
        <is>
          <t>616</t>
        </is>
      </c>
      <c r="B102" s="107" t="inlineStr">
        <is>
          <t>Assurances (autres)</t>
        </is>
      </c>
      <c r="C102" s="127" t="inlineStr">
        <is>
          <t>Gouvernance</t>
        </is>
      </c>
      <c r="D102" s="90" t="inlineStr">
        <is>
          <t>Risques</t>
        </is>
      </c>
      <c r="E102" s="128" t="inlineStr">
        <is>
          <t>G1</t>
        </is>
      </c>
      <c r="F102" s="87" t="inlineStr">
        <is>
          <t>—</t>
        </is>
      </c>
      <c r="G102" s="87" t="inlineStr">
        <is>
          <t>€</t>
        </is>
      </c>
      <c r="H102" s="87" t="inlineStr">
        <is>
          <t>—</t>
        </is>
      </c>
      <c r="I102" s="87" t="inlineStr">
        <is>
          <t>FIXE</t>
        </is>
      </c>
      <c r="J102" s="43" t="inlineStr"/>
      <c r="K102" s="43" t="inlineStr"/>
      <c r="L102" s="119" t="inlineStr"/>
      <c r="M102" s="120" t="inlineStr">
        <is>
          <t>FEC 616</t>
        </is>
      </c>
      <c r="N102" s="121" t="inlineStr"/>
    </row>
    <row r="103">
      <c r="A103" s="110" t="inlineStr">
        <is>
          <t>628300</t>
        </is>
      </c>
      <c r="B103" s="107" t="inlineStr">
        <is>
          <t>Certification / label</t>
        </is>
      </c>
      <c r="C103" s="127" t="inlineStr">
        <is>
          <t>Gouvernance</t>
        </is>
      </c>
      <c r="D103" s="90" t="inlineStr">
        <is>
          <t>Conformité</t>
        </is>
      </c>
      <c r="E103" s="128" t="inlineStr">
        <is>
          <t>G1</t>
        </is>
      </c>
      <c r="F103" s="87" t="inlineStr">
        <is>
          <t>—</t>
        </is>
      </c>
      <c r="G103" s="87" t="inlineStr">
        <is>
          <t>€</t>
        </is>
      </c>
      <c r="H103" s="87" t="inlineStr">
        <is>
          <t>—</t>
        </is>
      </c>
      <c r="I103" s="87" t="inlineStr">
        <is>
          <t>FIXE</t>
        </is>
      </c>
      <c r="J103" s="43" t="inlineStr"/>
      <c r="K103" s="43" t="inlineStr"/>
      <c r="L103" s="119" t="inlineStr"/>
      <c r="M103" s="120" t="inlineStr">
        <is>
          <t>FEC 628</t>
        </is>
      </c>
      <c r="N103" s="121" t="inlineStr">
        <is>
          <t>Audit qualité / label</t>
        </is>
      </c>
    </row>
    <row r="104">
      <c r="A104" s="110" t="inlineStr">
        <is>
          <t>623400</t>
        </is>
      </c>
      <c r="B104" s="107" t="inlineStr">
        <is>
          <t>Cadeaux clientèle</t>
        </is>
      </c>
      <c r="C104" s="127" t="inlineStr">
        <is>
          <t>Gouvernance</t>
        </is>
      </c>
      <c r="D104" s="90" t="inlineStr">
        <is>
          <t>Éthique</t>
        </is>
      </c>
      <c r="E104" s="128" t="inlineStr">
        <is>
          <t>G1</t>
        </is>
      </c>
      <c r="F104" s="87" t="inlineStr">
        <is>
          <t>—</t>
        </is>
      </c>
      <c r="G104" s="87" t="inlineStr">
        <is>
          <t>€</t>
        </is>
      </c>
      <c r="H104" s="87" t="inlineStr">
        <is>
          <t>—</t>
        </is>
      </c>
      <c r="I104" s="87" t="inlineStr">
        <is>
          <t>FIXE</t>
        </is>
      </c>
      <c r="J104" s="43" t="inlineStr"/>
      <c r="K104" s="43" t="inlineStr"/>
      <c r="L104" s="119" t="inlineStr"/>
      <c r="M104" s="120" t="inlineStr">
        <is>
          <t>FEC 623</t>
        </is>
      </c>
      <c r="N104" s="121" t="inlineStr"/>
    </row>
    <row r="105">
      <c r="A105" s="110" t="inlineStr">
        <is>
          <t>623800</t>
        </is>
      </c>
      <c r="B105" s="107" t="inlineStr">
        <is>
          <t>Dons / mécénat</t>
        </is>
      </c>
      <c r="C105" s="127" t="inlineStr">
        <is>
          <t>Gouvernance</t>
        </is>
      </c>
      <c r="D105" s="90" t="inlineStr">
        <is>
          <t>Communauté</t>
        </is>
      </c>
      <c r="E105" s="128" t="inlineStr">
        <is>
          <t>G1</t>
        </is>
      </c>
      <c r="F105" s="87" t="inlineStr">
        <is>
          <t>—</t>
        </is>
      </c>
      <c r="G105" s="87" t="inlineStr">
        <is>
          <t>€</t>
        </is>
      </c>
      <c r="H105" s="87" t="inlineStr">
        <is>
          <t>—</t>
        </is>
      </c>
      <c r="I105" s="87" t="inlineStr">
        <is>
          <t>FIXE</t>
        </is>
      </c>
      <c r="J105" s="43" t="inlineStr"/>
      <c r="K105" s="43" t="inlineStr"/>
      <c r="L105" s="119" t="inlineStr"/>
      <c r="M105" s="120" t="inlineStr">
        <is>
          <t>FEC 623</t>
        </is>
      </c>
      <c r="N105" s="121" t="inlineStr">
        <is>
          <t>Engagement territorial</t>
        </is>
      </c>
    </row>
    <row r="106">
      <c r="A106" s="110" t="inlineStr">
        <is>
          <t>623100</t>
        </is>
      </c>
      <c r="B106" s="107" t="inlineStr">
        <is>
          <t>Communication / marketing</t>
        </is>
      </c>
      <c r="C106" s="116" t="inlineStr">
        <is>
          <t>Environnement</t>
        </is>
      </c>
      <c r="D106" s="90" t="inlineStr">
        <is>
          <t>Achats</t>
        </is>
      </c>
      <c r="E106" s="117" t="inlineStr">
        <is>
          <t>E1</t>
        </is>
      </c>
      <c r="F106" s="87" t="inlineStr">
        <is>
          <t>Scope 3</t>
        </is>
      </c>
      <c r="G106" s="87" t="inlineStr">
        <is>
          <t>—</t>
        </is>
      </c>
      <c r="H106" s="87" t="inlineStr">
        <is>
          <t>MONETAIRE</t>
        </is>
      </c>
      <c r="I106" s="87" t="inlineStr">
        <is>
          <t>FIXE</t>
        </is>
      </c>
      <c r="J106" s="43" t="inlineStr"/>
      <c r="K106" s="43" t="inlineStr"/>
      <c r="L106" s="122" t="n">
        <v>0.2</v>
      </c>
      <c r="M106" s="120" t="inlineStr">
        <is>
          <t>ADEME Base Empreinte (ratio indicatif)</t>
        </is>
      </c>
      <c r="N106" s="121" t="inlineStr"/>
    </row>
    <row r="107">
      <c r="A107" s="110" t="inlineStr">
        <is>
          <t>623300</t>
        </is>
      </c>
      <c r="B107" s="107" t="inlineStr">
        <is>
          <t>Salons / événements</t>
        </is>
      </c>
      <c r="C107" s="116" t="inlineStr">
        <is>
          <t>Environnement</t>
        </is>
      </c>
      <c r="D107" s="90" t="inlineStr">
        <is>
          <t>Achats</t>
        </is>
      </c>
      <c r="E107" s="117" t="inlineStr">
        <is>
          <t>E1</t>
        </is>
      </c>
      <c r="F107" s="87" t="inlineStr">
        <is>
          <t>Scope 3</t>
        </is>
      </c>
      <c r="G107" s="87" t="inlineStr">
        <is>
          <t>—</t>
        </is>
      </c>
      <c r="H107" s="87" t="inlineStr">
        <is>
          <t>MONETAIRE</t>
        </is>
      </c>
      <c r="I107" s="87" t="inlineStr">
        <is>
          <t>FIXE</t>
        </is>
      </c>
      <c r="J107" s="43" t="inlineStr"/>
      <c r="K107" s="43" t="inlineStr"/>
      <c r="L107" s="122" t="n">
        <v>0.25</v>
      </c>
      <c r="M107" s="120" t="inlineStr">
        <is>
          <t>ADEME Base Empreinte (ratio indicatif)</t>
        </is>
      </c>
      <c r="N107" s="121" t="inlineStr"/>
    </row>
    <row r="108">
      <c r="A108" s="110" t="inlineStr">
        <is>
          <t>623600</t>
        </is>
      </c>
      <c r="B108" s="107" t="inlineStr">
        <is>
          <t>Catalogues imprimés</t>
        </is>
      </c>
      <c r="C108" s="116" t="inlineStr">
        <is>
          <t>Environnement</t>
        </is>
      </c>
      <c r="D108" s="90" t="inlineStr">
        <is>
          <t>Achats</t>
        </is>
      </c>
      <c r="E108" s="117" t="inlineStr">
        <is>
          <t>E5</t>
        </is>
      </c>
      <c r="F108" s="87" t="inlineStr">
        <is>
          <t>Scope 3</t>
        </is>
      </c>
      <c r="G108" s="87" t="inlineStr">
        <is>
          <t>—</t>
        </is>
      </c>
      <c r="H108" s="87" t="inlineStr">
        <is>
          <t>MONETAIRE</t>
        </is>
      </c>
      <c r="I108" s="87" t="inlineStr">
        <is>
          <t>FIXE</t>
        </is>
      </c>
      <c r="J108" s="43" t="inlineStr"/>
      <c r="K108" s="43" t="inlineStr"/>
      <c r="L108" s="122" t="n">
        <v>0.7</v>
      </c>
      <c r="M108" s="120" t="inlineStr">
        <is>
          <t>ADEME Base Empreinte (ratio indicatif)</t>
        </is>
      </c>
      <c r="N108" s="121" t="inlineStr"/>
    </row>
    <row r="109">
      <c r="A109" s="110" t="inlineStr">
        <is>
          <t>623700</t>
        </is>
      </c>
      <c r="B109" s="107" t="inlineStr">
        <is>
          <t>Contenus numériques</t>
        </is>
      </c>
      <c r="C109" s="116" t="inlineStr">
        <is>
          <t>Environnement</t>
        </is>
      </c>
      <c r="D109" s="90" t="inlineStr">
        <is>
          <t>Numérique</t>
        </is>
      </c>
      <c r="E109" s="117" t="inlineStr">
        <is>
          <t>E1</t>
        </is>
      </c>
      <c r="F109" s="87" t="inlineStr">
        <is>
          <t>Scope 3</t>
        </is>
      </c>
      <c r="G109" s="87" t="inlineStr">
        <is>
          <t>—</t>
        </is>
      </c>
      <c r="H109" s="87" t="inlineStr">
        <is>
          <t>MONETAIRE</t>
        </is>
      </c>
      <c r="I109" s="87" t="inlineStr">
        <is>
          <t>FIXE</t>
        </is>
      </c>
      <c r="J109" s="43" t="inlineStr"/>
      <c r="K109" s="43" t="inlineStr"/>
      <c r="L109" s="122" t="n">
        <v>0.2</v>
      </c>
      <c r="M109" s="120" t="inlineStr">
        <is>
          <t>ADEME Base Empreinte (ratio indicatif)</t>
        </is>
      </c>
      <c r="N109" s="121" t="inlineStr"/>
    </row>
    <row r="110">
      <c r="A110" s="110" t="inlineStr">
        <is>
          <t>617000</t>
        </is>
      </c>
      <c r="B110" s="107" t="inlineStr">
        <is>
          <t>Études et recherches</t>
        </is>
      </c>
      <c r="C110" s="127" t="inlineStr">
        <is>
          <t>Gouvernance</t>
        </is>
      </c>
      <c r="D110" s="90" t="inlineStr">
        <is>
          <t>Innovation</t>
        </is>
      </c>
      <c r="E110" s="128" t="inlineStr">
        <is>
          <t>G1</t>
        </is>
      </c>
      <c r="F110" s="87" t="inlineStr">
        <is>
          <t>—</t>
        </is>
      </c>
      <c r="G110" s="87" t="inlineStr">
        <is>
          <t>€</t>
        </is>
      </c>
      <c r="H110" s="87" t="inlineStr">
        <is>
          <t>—</t>
        </is>
      </c>
      <c r="I110" s="87" t="inlineStr">
        <is>
          <t>FIXE</t>
        </is>
      </c>
      <c r="J110" s="43" t="inlineStr"/>
      <c r="K110" s="43" t="inlineStr"/>
      <c r="L110" s="119" t="inlineStr"/>
      <c r="M110" s="120" t="inlineStr">
        <is>
          <t>FEC 617</t>
        </is>
      </c>
      <c r="N110" s="121" t="inlineStr"/>
    </row>
    <row r="111">
      <c r="A111" s="110" t="inlineStr">
        <is>
          <t>617100</t>
        </is>
      </c>
      <c r="B111" s="107" t="inlineStr">
        <is>
          <t>Études innovation durable</t>
        </is>
      </c>
      <c r="C111" s="127" t="inlineStr">
        <is>
          <t>Gouvernance</t>
        </is>
      </c>
      <c r="D111" s="90" t="inlineStr">
        <is>
          <t>Innovation</t>
        </is>
      </c>
      <c r="E111" s="128" t="inlineStr">
        <is>
          <t>G1</t>
        </is>
      </c>
      <c r="F111" s="87" t="inlineStr">
        <is>
          <t>—</t>
        </is>
      </c>
      <c r="G111" s="87" t="inlineStr">
        <is>
          <t>€</t>
        </is>
      </c>
      <c r="H111" s="87" t="inlineStr">
        <is>
          <t>—</t>
        </is>
      </c>
      <c r="I111" s="87" t="inlineStr">
        <is>
          <t>FIXE</t>
        </is>
      </c>
      <c r="J111" s="43" t="inlineStr"/>
      <c r="K111" s="43" t="inlineStr"/>
      <c r="L111" s="119" t="inlineStr"/>
      <c r="M111" s="120" t="inlineStr">
        <is>
          <t>FEC 617</t>
        </is>
      </c>
      <c r="N111" s="121" t="inlineStr">
        <is>
          <t>R&amp;D durable</t>
        </is>
      </c>
    </row>
    <row r="112">
      <c r="A112" s="110" t="inlineStr">
        <is>
          <t>618500</t>
        </is>
      </c>
      <c r="B112" s="107" t="inlineStr">
        <is>
          <t>Colloques / conférences</t>
        </is>
      </c>
      <c r="C112" s="116" t="inlineStr">
        <is>
          <t>Environnement</t>
        </is>
      </c>
      <c r="D112" s="90" t="inlineStr">
        <is>
          <t>Achats</t>
        </is>
      </c>
      <c r="E112" s="117" t="inlineStr">
        <is>
          <t>E1</t>
        </is>
      </c>
      <c r="F112" s="87" t="inlineStr">
        <is>
          <t>Scope 3</t>
        </is>
      </c>
      <c r="G112" s="87" t="inlineStr">
        <is>
          <t>—</t>
        </is>
      </c>
      <c r="H112" s="87" t="inlineStr">
        <is>
          <t>MONETAIRE</t>
        </is>
      </c>
      <c r="I112" s="87" t="inlineStr">
        <is>
          <t>FIXE</t>
        </is>
      </c>
      <c r="J112" s="43" t="inlineStr"/>
      <c r="K112" s="43" t="inlineStr"/>
      <c r="L112" s="122" t="n">
        <v>0.2</v>
      </c>
      <c r="M112" s="120" t="inlineStr">
        <is>
          <t>ADEME Base Empreinte (ratio indicatif)</t>
        </is>
      </c>
      <c r="N112" s="121" t="inlineStr"/>
    </row>
    <row r="113">
      <c r="A113" s="110" t="inlineStr">
        <is>
          <t>627800</t>
        </is>
      </c>
      <c r="B113" s="107" t="inlineStr">
        <is>
          <t>Frais bancaires</t>
        </is>
      </c>
      <c r="C113" s="127" t="inlineStr">
        <is>
          <t>Gouvernance</t>
        </is>
      </c>
      <c r="D113" s="90" t="inlineStr">
        <is>
          <t>Finance</t>
        </is>
      </c>
      <c r="E113" s="128" t="inlineStr">
        <is>
          <t>G1</t>
        </is>
      </c>
      <c r="F113" s="87" t="inlineStr">
        <is>
          <t>—</t>
        </is>
      </c>
      <c r="G113" s="87" t="inlineStr">
        <is>
          <t>€</t>
        </is>
      </c>
      <c r="H113" s="87" t="inlineStr">
        <is>
          <t>—</t>
        </is>
      </c>
      <c r="I113" s="87" t="inlineStr">
        <is>
          <t>FIXE</t>
        </is>
      </c>
      <c r="J113" s="43" t="inlineStr"/>
      <c r="K113" s="43" t="inlineStr"/>
      <c r="L113" s="119" t="inlineStr"/>
      <c r="M113" s="120" t="inlineStr">
        <is>
          <t>FEC 627</t>
        </is>
      </c>
      <c r="N113" s="121" t="inlineStr"/>
    </row>
    <row r="114">
      <c r="A114" s="110" t="inlineStr">
        <is>
          <t>681510</t>
        </is>
      </c>
      <c r="B114" s="107" t="inlineStr">
        <is>
          <t>Provisions litiges</t>
        </is>
      </c>
      <c r="C114" s="127" t="inlineStr">
        <is>
          <t>Gouvernance</t>
        </is>
      </c>
      <c r="D114" s="90" t="inlineStr">
        <is>
          <t>Risques</t>
        </is>
      </c>
      <c r="E114" s="128" t="inlineStr">
        <is>
          <t>G1</t>
        </is>
      </c>
      <c r="F114" s="87" t="inlineStr">
        <is>
          <t>—</t>
        </is>
      </c>
      <c r="G114" s="87" t="inlineStr">
        <is>
          <t>€</t>
        </is>
      </c>
      <c r="H114" s="87" t="inlineStr">
        <is>
          <t>—</t>
        </is>
      </c>
      <c r="I114" s="87" t="inlineStr">
        <is>
          <t>FIXE</t>
        </is>
      </c>
      <c r="J114" s="43" t="inlineStr"/>
      <c r="K114" s="43" t="inlineStr"/>
      <c r="L114" s="119" t="inlineStr"/>
      <c r="M114" s="120" t="inlineStr">
        <is>
          <t>FEC 681</t>
        </is>
      </c>
      <c r="N114" s="121" t="inlineStr"/>
    </row>
    <row r="115">
      <c r="A115" s="110" t="inlineStr">
        <is>
          <t>681520</t>
        </is>
      </c>
      <c r="B115" s="107" t="inlineStr">
        <is>
          <t>Provisions risques ESG</t>
        </is>
      </c>
      <c r="C115" s="127" t="inlineStr">
        <is>
          <t>Gouvernance</t>
        </is>
      </c>
      <c r="D115" s="90" t="inlineStr">
        <is>
          <t>Risques</t>
        </is>
      </c>
      <c r="E115" s="128" t="inlineStr">
        <is>
          <t>G1</t>
        </is>
      </c>
      <c r="F115" s="87" t="inlineStr">
        <is>
          <t>—</t>
        </is>
      </c>
      <c r="G115" s="87" t="inlineStr">
        <is>
          <t>€</t>
        </is>
      </c>
      <c r="H115" s="87" t="inlineStr">
        <is>
          <t>—</t>
        </is>
      </c>
      <c r="I115" s="87" t="inlineStr">
        <is>
          <t>FIXE</t>
        </is>
      </c>
      <c r="J115" s="43" t="inlineStr"/>
      <c r="K115" s="43" t="inlineStr"/>
      <c r="L115" s="119" t="inlineStr"/>
      <c r="M115" s="120" t="inlineStr">
        <is>
          <t>FEC 681</t>
        </is>
      </c>
      <c r="N115" s="121" t="inlineStr">
        <is>
          <t>Risques sociaux/environ.</t>
        </is>
      </c>
    </row>
    <row r="116">
      <c r="A116" s="110" t="inlineStr">
        <is>
          <t>681530</t>
        </is>
      </c>
      <c r="B116" s="107" t="inlineStr">
        <is>
          <t>Provisions cyber/données</t>
        </is>
      </c>
      <c r="C116" s="127" t="inlineStr">
        <is>
          <t>Gouvernance</t>
        </is>
      </c>
      <c r="D116" s="90" t="inlineStr">
        <is>
          <t>Risques</t>
        </is>
      </c>
      <c r="E116" s="128" t="inlineStr">
        <is>
          <t>G1</t>
        </is>
      </c>
      <c r="F116" s="87" t="inlineStr">
        <is>
          <t>—</t>
        </is>
      </c>
      <c r="G116" s="87" t="inlineStr">
        <is>
          <t>€</t>
        </is>
      </c>
      <c r="H116" s="87" t="inlineStr">
        <is>
          <t>—</t>
        </is>
      </c>
      <c r="I116" s="87" t="inlineStr">
        <is>
          <t>FIXE</t>
        </is>
      </c>
      <c r="J116" s="43" t="inlineStr"/>
      <c r="K116" s="43" t="inlineStr"/>
      <c r="L116" s="119" t="inlineStr"/>
      <c r="M116" s="120" t="inlineStr">
        <is>
          <t>FEC 681</t>
        </is>
      </c>
      <c r="N116" s="121" t="inlineStr"/>
    </row>
    <row r="117">
      <c r="A117" s="110" t="inlineStr">
        <is>
          <t>681740</t>
        </is>
      </c>
      <c r="B117" s="107" t="inlineStr">
        <is>
          <t>Dépréciation créances</t>
        </is>
      </c>
      <c r="C117" s="123" t="inlineStr">
        <is>
          <t>Économique</t>
        </is>
      </c>
      <c r="D117" s="90" t="inlineStr">
        <is>
          <t>Finance</t>
        </is>
      </c>
      <c r="E117" s="124" t="inlineStr">
        <is>
          <t>—</t>
        </is>
      </c>
      <c r="F117" s="87" t="inlineStr">
        <is>
          <t>—</t>
        </is>
      </c>
      <c r="G117" s="87" t="inlineStr">
        <is>
          <t>€</t>
        </is>
      </c>
      <c r="H117" s="87" t="inlineStr">
        <is>
          <t>—</t>
        </is>
      </c>
      <c r="I117" s="87" t="inlineStr">
        <is>
          <t>FIXE</t>
        </is>
      </c>
      <c r="J117" s="43" t="inlineStr"/>
      <c r="K117" s="43" t="inlineStr"/>
      <c r="L117" s="119" t="inlineStr"/>
      <c r="M117" s="120" t="inlineStr">
        <is>
          <t>FEC 681</t>
        </is>
      </c>
      <c r="N117" s="121" t="inlineStr"/>
    </row>
    <row r="118">
      <c r="A118" s="110" t="inlineStr">
        <is>
          <t>681120</t>
        </is>
      </c>
      <c r="B118" s="107" t="inlineStr">
        <is>
          <t>Amortissements corporels</t>
        </is>
      </c>
      <c r="C118" s="123" t="inlineStr">
        <is>
          <t>Économique</t>
        </is>
      </c>
      <c r="D118" s="90" t="inlineStr">
        <is>
          <t>Finance</t>
        </is>
      </c>
      <c r="E118" s="124" t="inlineStr">
        <is>
          <t>—</t>
        </is>
      </c>
      <c r="F118" s="87" t="inlineStr">
        <is>
          <t>—</t>
        </is>
      </c>
      <c r="G118" s="87" t="inlineStr">
        <is>
          <t>€</t>
        </is>
      </c>
      <c r="H118" s="87" t="inlineStr">
        <is>
          <t>—</t>
        </is>
      </c>
      <c r="I118" s="87" t="inlineStr">
        <is>
          <t>FIXE</t>
        </is>
      </c>
      <c r="J118" s="43" t="inlineStr"/>
      <c r="K118" s="43" t="inlineStr"/>
      <c r="L118" s="119" t="inlineStr"/>
      <c r="M118" s="120" t="inlineStr">
        <is>
          <t>FEC 681</t>
        </is>
      </c>
      <c r="N118" s="121" t="inlineStr"/>
    </row>
    <row r="119">
      <c r="A119" s="110" t="inlineStr">
        <is>
          <t>681150</t>
        </is>
      </c>
      <c r="B119" s="107" t="inlineStr">
        <is>
          <t>Amortissements incorporels</t>
        </is>
      </c>
      <c r="C119" s="123" t="inlineStr">
        <is>
          <t>Économique</t>
        </is>
      </c>
      <c r="D119" s="90" t="inlineStr">
        <is>
          <t>Finance</t>
        </is>
      </c>
      <c r="E119" s="124" t="inlineStr">
        <is>
          <t>—</t>
        </is>
      </c>
      <c r="F119" s="87" t="inlineStr">
        <is>
          <t>—</t>
        </is>
      </c>
      <c r="G119" s="87" t="inlineStr">
        <is>
          <t>€</t>
        </is>
      </c>
      <c r="H119" s="87" t="inlineStr">
        <is>
          <t>—</t>
        </is>
      </c>
      <c r="I119" s="87" t="inlineStr">
        <is>
          <t>FIXE</t>
        </is>
      </c>
      <c r="J119" s="43" t="inlineStr"/>
      <c r="K119" s="43" t="inlineStr"/>
      <c r="L119" s="119" t="inlineStr"/>
      <c r="M119" s="120" t="inlineStr">
        <is>
          <t>FEC 681</t>
        </is>
      </c>
      <c r="N119" s="121" t="inlineStr"/>
    </row>
    <row r="120">
      <c r="A120" s="110" t="inlineStr">
        <is>
          <t>635110</t>
        </is>
      </c>
      <c r="B120" s="107" t="inlineStr">
        <is>
          <t>Contribution éco. territoriale</t>
        </is>
      </c>
      <c r="C120" s="127" t="inlineStr">
        <is>
          <t>Gouvernance</t>
        </is>
      </c>
      <c r="D120" s="90" t="inlineStr">
        <is>
          <t>Fiscalité</t>
        </is>
      </c>
      <c r="E120" s="128" t="inlineStr">
        <is>
          <t>G1</t>
        </is>
      </c>
      <c r="F120" s="87" t="inlineStr">
        <is>
          <t>—</t>
        </is>
      </c>
      <c r="G120" s="87" t="inlineStr">
        <is>
          <t>€</t>
        </is>
      </c>
      <c r="H120" s="87" t="inlineStr">
        <is>
          <t>—</t>
        </is>
      </c>
      <c r="I120" s="87" t="inlineStr">
        <is>
          <t>FIXE</t>
        </is>
      </c>
      <c r="J120" s="43" t="inlineStr"/>
      <c r="K120" s="43" t="inlineStr"/>
      <c r="L120" s="119" t="inlineStr"/>
      <c r="M120" s="120" t="inlineStr">
        <is>
          <t>FEC 635</t>
        </is>
      </c>
      <c r="N120" s="121" t="inlineStr">
        <is>
          <t>Contribution fiscale locale</t>
        </is>
      </c>
    </row>
    <row r="121">
      <c r="A121" s="110" t="inlineStr">
        <is>
          <t>635120</t>
        </is>
      </c>
      <c r="B121" s="107" t="inlineStr">
        <is>
          <t>Taxes foncières</t>
        </is>
      </c>
      <c r="C121" s="127" t="inlineStr">
        <is>
          <t>Gouvernance</t>
        </is>
      </c>
      <c r="D121" s="90" t="inlineStr">
        <is>
          <t>Fiscalité</t>
        </is>
      </c>
      <c r="E121" s="128" t="inlineStr">
        <is>
          <t>G1</t>
        </is>
      </c>
      <c r="F121" s="87" t="inlineStr">
        <is>
          <t>—</t>
        </is>
      </c>
      <c r="G121" s="87" t="inlineStr">
        <is>
          <t>€</t>
        </is>
      </c>
      <c r="H121" s="87" t="inlineStr">
        <is>
          <t>—</t>
        </is>
      </c>
      <c r="I121" s="87" t="inlineStr">
        <is>
          <t>FIXE</t>
        </is>
      </c>
      <c r="J121" s="43" t="inlineStr"/>
      <c r="K121" s="43" t="inlineStr"/>
      <c r="L121" s="119" t="inlineStr"/>
      <c r="M121" s="120" t="inlineStr">
        <is>
          <t>FEC 635</t>
        </is>
      </c>
      <c r="N121" s="121" t="inlineStr"/>
    </row>
    <row r="122">
      <c r="A122" s="110" t="inlineStr">
        <is>
          <t>635</t>
        </is>
      </c>
      <c r="B122" s="107" t="inlineStr">
        <is>
          <t>Autres impôts locaux</t>
        </is>
      </c>
      <c r="C122" s="127" t="inlineStr">
        <is>
          <t>Gouvernance</t>
        </is>
      </c>
      <c r="D122" s="90" t="inlineStr">
        <is>
          <t>Fiscalité</t>
        </is>
      </c>
      <c r="E122" s="128" t="inlineStr">
        <is>
          <t>G1</t>
        </is>
      </c>
      <c r="F122" s="87" t="inlineStr">
        <is>
          <t>—</t>
        </is>
      </c>
      <c r="G122" s="87" t="inlineStr">
        <is>
          <t>€</t>
        </is>
      </c>
      <c r="H122" s="87" t="inlineStr">
        <is>
          <t>—</t>
        </is>
      </c>
      <c r="I122" s="87" t="inlineStr">
        <is>
          <t>FIXE</t>
        </is>
      </c>
      <c r="J122" s="43" t="inlineStr"/>
      <c r="K122" s="43" t="inlineStr"/>
      <c r="L122" s="119" t="inlineStr"/>
      <c r="M122" s="120" t="inlineStr">
        <is>
          <t>FEC 635</t>
        </is>
      </c>
      <c r="N122" s="121" t="inlineStr"/>
    </row>
    <row r="123">
      <c r="A123" s="110" t="inlineStr">
        <is>
          <t>661</t>
        </is>
      </c>
      <c r="B123" s="107" t="inlineStr">
        <is>
          <t>Charges financières</t>
        </is>
      </c>
      <c r="C123" s="123" t="inlineStr">
        <is>
          <t>Économique</t>
        </is>
      </c>
      <c r="D123" s="90" t="inlineStr">
        <is>
          <t>Finance</t>
        </is>
      </c>
      <c r="E123" s="124" t="inlineStr">
        <is>
          <t>—</t>
        </is>
      </c>
      <c r="F123" s="87" t="inlineStr">
        <is>
          <t>—</t>
        </is>
      </c>
      <c r="G123" s="87" t="inlineStr">
        <is>
          <t>€</t>
        </is>
      </c>
      <c r="H123" s="87" t="inlineStr">
        <is>
          <t>—</t>
        </is>
      </c>
      <c r="I123" s="87" t="inlineStr">
        <is>
          <t>FIXE</t>
        </is>
      </c>
      <c r="J123" s="43" t="inlineStr"/>
      <c r="K123" s="43" t="inlineStr"/>
      <c r="L123" s="119" t="inlineStr"/>
      <c r="M123" s="120" t="inlineStr">
        <is>
          <t>FEC 66</t>
        </is>
      </c>
      <c r="N123" s="121" t="inlineStr"/>
    </row>
    <row r="124">
      <c r="A124" s="110" t="inlineStr">
        <is>
          <t>695</t>
        </is>
      </c>
      <c r="B124" s="107" t="inlineStr">
        <is>
          <t>Impôt sur les bénéfices</t>
        </is>
      </c>
      <c r="C124" s="127" t="inlineStr">
        <is>
          <t>Gouvernance</t>
        </is>
      </c>
      <c r="D124" s="90" t="inlineStr">
        <is>
          <t>Fiscalité</t>
        </is>
      </c>
      <c r="E124" s="128" t="inlineStr">
        <is>
          <t>G1</t>
        </is>
      </c>
      <c r="F124" s="87" t="inlineStr">
        <is>
          <t>—</t>
        </is>
      </c>
      <c r="G124" s="87" t="inlineStr">
        <is>
          <t>€</t>
        </is>
      </c>
      <c r="H124" s="87" t="inlineStr">
        <is>
          <t>—</t>
        </is>
      </c>
      <c r="I124" s="87" t="inlineStr">
        <is>
          <t>FIXE</t>
        </is>
      </c>
      <c r="J124" s="43" t="inlineStr"/>
      <c r="K124" s="43" t="inlineStr"/>
      <c r="L124" s="119" t="inlineStr"/>
      <c r="M124" s="120" t="inlineStr">
        <is>
          <t>FEC 695</t>
        </is>
      </c>
      <c r="N124" s="121" t="inlineStr">
        <is>
          <t>Contribution fiscale</t>
        </is>
      </c>
    </row>
    <row r="125">
      <c r="A125" s="110" t="inlineStr">
        <is>
          <t>706</t>
        </is>
      </c>
      <c r="B125" s="107" t="inlineStr">
        <is>
          <t>Chiffre d'affaires</t>
        </is>
      </c>
      <c r="C125" s="123" t="inlineStr">
        <is>
          <t>Économique</t>
        </is>
      </c>
      <c r="D125" s="90" t="inlineStr">
        <is>
          <t>Activité</t>
        </is>
      </c>
      <c r="E125" s="124" t="inlineStr">
        <is>
          <t>—</t>
        </is>
      </c>
      <c r="F125" s="87" t="inlineStr">
        <is>
          <t>—</t>
        </is>
      </c>
      <c r="G125" s="87" t="inlineStr">
        <is>
          <t>€</t>
        </is>
      </c>
      <c r="H125" s="87" t="inlineStr">
        <is>
          <t>—</t>
        </is>
      </c>
      <c r="I125" s="87" t="inlineStr">
        <is>
          <t>FIXE</t>
        </is>
      </c>
      <c r="J125" s="43" t="inlineStr"/>
      <c r="K125" s="43" t="inlineStr"/>
      <c r="L125" s="119" t="inlineStr"/>
      <c r="M125" s="120" t="inlineStr">
        <is>
          <t>FEC 70</t>
        </is>
      </c>
      <c r="N125" s="121" t="inlineStr">
        <is>
          <t>Produits d'exploitation</t>
        </is>
      </c>
    </row>
    <row r="126">
      <c r="A126" s="110" t="inlineStr">
        <is>
          <t>708</t>
        </is>
      </c>
      <c r="B126" s="107" t="inlineStr">
        <is>
          <t>Produits annexes</t>
        </is>
      </c>
      <c r="C126" s="123" t="inlineStr">
        <is>
          <t>Économique</t>
        </is>
      </c>
      <c r="D126" s="90" t="inlineStr">
        <is>
          <t>Activité</t>
        </is>
      </c>
      <c r="E126" s="124" t="inlineStr">
        <is>
          <t>—</t>
        </is>
      </c>
      <c r="F126" s="87" t="inlineStr">
        <is>
          <t>—</t>
        </is>
      </c>
      <c r="G126" s="87" t="inlineStr">
        <is>
          <t>€</t>
        </is>
      </c>
      <c r="H126" s="87" t="inlineStr">
        <is>
          <t>—</t>
        </is>
      </c>
      <c r="I126" s="87" t="inlineStr">
        <is>
          <t>FIXE</t>
        </is>
      </c>
      <c r="J126" s="43" t="inlineStr"/>
      <c r="K126" s="43" t="inlineStr"/>
      <c r="L126" s="119" t="inlineStr"/>
      <c r="M126" s="120" t="inlineStr">
        <is>
          <t>FEC 70</t>
        </is>
      </c>
      <c r="N126" s="121" t="inlineStr"/>
    </row>
    <row r="127">
      <c r="A127" s="110" t="inlineStr">
        <is>
          <t>70</t>
        </is>
      </c>
      <c r="B127" s="107" t="inlineStr">
        <is>
          <t>Ventes / prestations</t>
        </is>
      </c>
      <c r="C127" s="123" t="inlineStr">
        <is>
          <t>Économique</t>
        </is>
      </c>
      <c r="D127" s="90" t="inlineStr">
        <is>
          <t>Activité</t>
        </is>
      </c>
      <c r="E127" s="124" t="inlineStr">
        <is>
          <t>—</t>
        </is>
      </c>
      <c r="F127" s="87" t="inlineStr">
        <is>
          <t>—</t>
        </is>
      </c>
      <c r="G127" s="87" t="inlineStr">
        <is>
          <t>€</t>
        </is>
      </c>
      <c r="H127" s="87" t="inlineStr">
        <is>
          <t>—</t>
        </is>
      </c>
      <c r="I127" s="87" t="inlineStr">
        <is>
          <t>FIXE</t>
        </is>
      </c>
      <c r="J127" s="43" t="inlineStr"/>
      <c r="K127" s="43" t="inlineStr"/>
      <c r="L127" s="119" t="inlineStr"/>
      <c r="M127" s="120" t="inlineStr">
        <is>
          <t>FEC 70</t>
        </is>
      </c>
      <c r="N127" s="121" t="inlineStr"/>
    </row>
    <row r="128">
      <c r="A128" s="110" t="inlineStr">
        <is>
          <t>606</t>
        </is>
      </c>
      <c r="B128" s="107" t="inlineStr">
        <is>
          <t>Achats / énergie (repli)</t>
        </is>
      </c>
      <c r="C128" s="116" t="inlineStr">
        <is>
          <t>Environnement</t>
        </is>
      </c>
      <c r="D128" s="90" t="inlineStr">
        <is>
          <t>Achats</t>
        </is>
      </c>
      <c r="E128" s="117" t="inlineStr">
        <is>
          <t>E1</t>
        </is>
      </c>
      <c r="F128" s="87" t="inlineStr">
        <is>
          <t>Scope 3</t>
        </is>
      </c>
      <c r="G128" s="87" t="inlineStr">
        <is>
          <t>—</t>
        </is>
      </c>
      <c r="H128" s="87" t="inlineStr">
        <is>
          <t>MONETAIRE</t>
        </is>
      </c>
      <c r="I128" s="87" t="inlineStr">
        <is>
          <t>FIXE</t>
        </is>
      </c>
      <c r="J128" s="43" t="inlineStr"/>
      <c r="K128" s="43" t="inlineStr"/>
      <c r="L128" s="122" t="n">
        <v>0.25</v>
      </c>
      <c r="M128" s="120" t="inlineStr">
        <is>
          <t>ADEME Base Empreinte (ratio indicatif)</t>
        </is>
      </c>
      <c r="N128" s="121" t="inlineStr">
        <is>
          <t>Repli classe 606</t>
        </is>
      </c>
    </row>
    <row r="129">
      <c r="A129" s="110" t="inlineStr">
        <is>
          <t>60</t>
        </is>
      </c>
      <c r="B129" s="107" t="inlineStr">
        <is>
          <t>Achats (repli)</t>
        </is>
      </c>
      <c r="C129" s="116" t="inlineStr">
        <is>
          <t>Environnement</t>
        </is>
      </c>
      <c r="D129" s="90" t="inlineStr">
        <is>
          <t>Achats</t>
        </is>
      </c>
      <c r="E129" s="117" t="inlineStr">
        <is>
          <t>E1</t>
        </is>
      </c>
      <c r="F129" s="87" t="inlineStr">
        <is>
          <t>Scope 3</t>
        </is>
      </c>
      <c r="G129" s="87" t="inlineStr">
        <is>
          <t>—</t>
        </is>
      </c>
      <c r="H129" s="87" t="inlineStr">
        <is>
          <t>MONETAIRE</t>
        </is>
      </c>
      <c r="I129" s="87" t="inlineStr">
        <is>
          <t>FIXE</t>
        </is>
      </c>
      <c r="J129" s="43" t="inlineStr"/>
      <c r="K129" s="43" t="inlineStr"/>
      <c r="L129" s="122" t="n">
        <v>0.25</v>
      </c>
      <c r="M129" s="120" t="inlineStr">
        <is>
          <t>ADEME Base Empreinte (ratio indicatif)</t>
        </is>
      </c>
      <c r="N129" s="121" t="inlineStr">
        <is>
          <t>Repli classe 60</t>
        </is>
      </c>
    </row>
    <row r="130">
      <c r="A130" s="110" t="inlineStr">
        <is>
          <t>62</t>
        </is>
      </c>
      <c r="B130" s="107" t="inlineStr">
        <is>
          <t>Services externes (repli)</t>
        </is>
      </c>
      <c r="C130" s="116" t="inlineStr">
        <is>
          <t>Environnement</t>
        </is>
      </c>
      <c r="D130" s="90" t="inlineStr">
        <is>
          <t>Achats</t>
        </is>
      </c>
      <c r="E130" s="117" t="inlineStr">
        <is>
          <t>E1</t>
        </is>
      </c>
      <c r="F130" s="87" t="inlineStr">
        <is>
          <t>Scope 3</t>
        </is>
      </c>
      <c r="G130" s="87" t="inlineStr">
        <is>
          <t>—</t>
        </is>
      </c>
      <c r="H130" s="87" t="inlineStr">
        <is>
          <t>MONETAIRE</t>
        </is>
      </c>
      <c r="I130" s="87" t="inlineStr">
        <is>
          <t>FIXE</t>
        </is>
      </c>
      <c r="J130" s="43" t="inlineStr"/>
      <c r="K130" s="43" t="inlineStr"/>
      <c r="L130" s="122" t="n">
        <v>0.2</v>
      </c>
      <c r="M130" s="120" t="inlineStr">
        <is>
          <t>ADEME Base Empreinte (ratio indicatif)</t>
        </is>
      </c>
      <c r="N130" s="121" t="inlineStr">
        <is>
          <t>Repli classe 62</t>
        </is>
      </c>
    </row>
    <row r="131">
      <c r="A131" s="110" t="inlineStr">
        <is>
          <t>63</t>
        </is>
      </c>
      <c r="B131" s="107" t="inlineStr">
        <is>
          <t>Impôts &amp; taxes (repli)</t>
        </is>
      </c>
      <c r="C131" s="127" t="inlineStr">
        <is>
          <t>Gouvernance</t>
        </is>
      </c>
      <c r="D131" s="90" t="inlineStr">
        <is>
          <t>Fiscalité</t>
        </is>
      </c>
      <c r="E131" s="128" t="inlineStr">
        <is>
          <t>G1</t>
        </is>
      </c>
      <c r="F131" s="87" t="inlineStr">
        <is>
          <t>—</t>
        </is>
      </c>
      <c r="G131" s="87" t="inlineStr">
        <is>
          <t>€</t>
        </is>
      </c>
      <c r="H131" s="87" t="inlineStr">
        <is>
          <t>—</t>
        </is>
      </c>
      <c r="I131" s="87" t="inlineStr">
        <is>
          <t>FIXE</t>
        </is>
      </c>
      <c r="J131" s="43" t="inlineStr"/>
      <c r="K131" s="43" t="inlineStr"/>
      <c r="L131" s="119" t="inlineStr"/>
      <c r="M131" s="120" t="inlineStr">
        <is>
          <t>FEC 63</t>
        </is>
      </c>
      <c r="N131" s="121" t="inlineStr"/>
    </row>
    <row r="132">
      <c r="A132" s="110" t="inlineStr">
        <is>
          <t>64</t>
        </is>
      </c>
      <c r="B132" s="107" t="inlineStr">
        <is>
          <t>Personnel (repli)</t>
        </is>
      </c>
      <c r="C132" s="125" t="inlineStr">
        <is>
          <t>Social</t>
        </is>
      </c>
      <c r="D132" s="90" t="inlineStr">
        <is>
          <t>Emploi</t>
        </is>
      </c>
      <c r="E132" s="126" t="inlineStr">
        <is>
          <t>S1</t>
        </is>
      </c>
      <c r="F132" s="87" t="inlineStr">
        <is>
          <t>—</t>
        </is>
      </c>
      <c r="G132" s="87" t="inlineStr">
        <is>
          <t>€</t>
        </is>
      </c>
      <c r="H132" s="87" t="inlineStr">
        <is>
          <t>—</t>
        </is>
      </c>
      <c r="I132" s="87" t="inlineStr">
        <is>
          <t>FIXE</t>
        </is>
      </c>
      <c r="J132" s="43" t="inlineStr"/>
      <c r="K132" s="43" t="inlineStr"/>
      <c r="L132" s="119" t="inlineStr"/>
      <c r="M132" s="120" t="inlineStr">
        <is>
          <t>FEC 64</t>
        </is>
      </c>
      <c r="N132" s="121" t="inlineStr"/>
    </row>
    <row r="133">
      <c r="A133" s="110" t="inlineStr">
        <is>
          <t>(non mappé)</t>
        </is>
      </c>
      <c r="B133" s="107" t="inlineStr">
        <is>
          <t>Non mappé</t>
        </is>
      </c>
      <c r="C133" s="123" t="inlineStr">
        <is>
          <t>Économique</t>
        </is>
      </c>
      <c r="D133" s="90" t="inlineStr">
        <is>
          <t>À classer</t>
        </is>
      </c>
      <c r="E133" s="124" t="inlineStr">
        <is>
          <t>—</t>
        </is>
      </c>
      <c r="F133" s="87" t="inlineStr">
        <is>
          <t>—</t>
        </is>
      </c>
      <c r="G133" s="87" t="inlineStr">
        <is>
          <t>—</t>
        </is>
      </c>
      <c r="H133" s="87" t="inlineStr">
        <is>
          <t>—</t>
        </is>
      </c>
      <c r="I133" s="87" t="inlineStr">
        <is>
          <t>FIXE</t>
        </is>
      </c>
      <c r="J133" s="43" t="inlineStr"/>
      <c r="K133" s="43" t="inlineStr"/>
      <c r="L133" s="119" t="inlineStr"/>
      <c r="M133" s="120" t="inlineStr">
        <is>
          <t>-</t>
        </is>
      </c>
      <c r="N133" s="121" t="inlineStr">
        <is>
          <t>Compte sans correspondance</t>
        </is>
      </c>
    </row>
    <row r="135" ht="23" customHeight="1">
      <c r="A135" s="37" t="inlineStr">
        <is>
          <t>4 · CONNECTIVITÉ &amp; MISE À JOUR DES VARIABLES</t>
        </is>
      </c>
    </row>
    <row r="136" ht="18" customHeight="1">
      <c r="A136" s="129" t="inlineStr">
        <is>
          <t>Les prix et facteurs ci-dessus évoluent. Deux façons de les tenir à jour :</t>
        </is>
      </c>
    </row>
    <row r="137" ht="18" customHeight="1">
      <c r="A137" s="130" t="inlineStr">
        <is>
          <t>1) Manuellement : modifiez les cellules jaunes. Une valeur saisie est TOUJOURS prioritaire et n'est jamais écrasée automatiquement.</t>
        </is>
      </c>
    </row>
    <row r="138" ht="46" customHeight="1">
      <c r="A138" s="130" t="inlineStr">
        <is>
          <t>2) Automatiquement : le bouton « Actualiser les tarifs » (feuille 01) teste la connexion et horodate la colonne « Date MAJ ». Pour un vrai rafraîchissement d'un clic, une requête Power Query peut alimenter ces cellules depuis les sources publiques de la colonne « URL » (voir le guide de connectivité fourni avec l'outil).</t>
        </is>
      </c>
    </row>
    <row r="139" ht="32" customHeight="1">
      <c r="A139" s="130" t="inlineStr">
        <is>
          <t>Sources publiques de référence : ADEME Base Empreinte (facteurs d'émission), data.gouv.fr / prix des carburants, tarifs réglementés électricité-gaz (CRE). L'URL de chaque ligne est indiquée dans la colonne « URL ».</t>
        </is>
      </c>
    </row>
    <row r="140" ht="18" customHeight="1">
      <c r="A140" s="131" t="inlineStr">
        <is>
          <t>Principe : la donnée mesurée ou choisie par l'expert-comptable prime toujours sur toute estimation ou valeur récupérée en ligne.</t>
        </is>
      </c>
    </row>
    <row r="142">
      <c r="A142" s="132" t="inlineStr">
        <is>
          <t>URL de test de connexion</t>
        </is>
      </c>
      <c r="C142" s="133" t="inlineStr">
        <is>
          <t>https://donnees.roulez-eco.fr/opendata/instantane</t>
        </is>
      </c>
    </row>
    <row r="143">
      <c r="A143" s="132" t="inlineStr">
        <is>
          <t>Dernière vérification</t>
        </is>
      </c>
      <c r="C143" s="134" t="inlineStr">
        <is>
          <t>—</t>
        </is>
      </c>
    </row>
  </sheetData>
  <mergeCells count="13">
    <mergeCell ref="A136:N136"/>
    <mergeCell ref="A138:N138"/>
    <mergeCell ref="A135:N135"/>
    <mergeCell ref="A140:N140"/>
    <mergeCell ref="A4:N4"/>
    <mergeCell ref="A139:N139"/>
    <mergeCell ref="A24:N24"/>
    <mergeCell ref="A2:N2"/>
    <mergeCell ref="C142:H142"/>
    <mergeCell ref="A25:N25"/>
    <mergeCell ref="A137:N137"/>
    <mergeCell ref="A14:N14"/>
    <mergeCell ref="A1:N1"/>
  </mergeCells>
  <printOptions horizontalCentered="1"/>
  <pageMargins left="0.3" right="0.3" top="0.4" bottom="0.4" header="0.5" footer="0.5"/>
  <pageSetup orientation="landscape" fitToHeight="0" fitToWidth="1"/>
</worksheet>
</file>

<file path=xl/worksheets/sheet10.xml><?xml version="1.0" encoding="utf-8"?>
<worksheet xmlns="http://schemas.openxmlformats.org/spreadsheetml/2006/main">
  <sheetPr>
    <tabColor rgb="006A4FB3"/>
    <outlinePr summaryBelow="1" summaryRight="1"/>
    <pageSetUpPr fitToPage="1"/>
  </sheetPr>
  <dimension ref="A1:F58"/>
  <sheetViews>
    <sheetView showGridLines="0" tabSelected="0" workbookViewId="0">
      <selection activeCell="A1" sqref="A1"/>
    </sheetView>
  </sheetViews>
  <sheetFormatPr baseColWidth="8" defaultRowHeight="15"/>
  <cols>
    <col width="30" customWidth="1" min="1" max="1"/>
    <col width="11" customWidth="1" min="2" max="2"/>
    <col width="15" customWidth="1" min="3" max="3"/>
    <col width="44" customWidth="1" min="4" max="4"/>
    <col width="30" customWidth="1" min="5" max="5"/>
    <col width="34" customWidth="1" min="6" max="6"/>
  </cols>
  <sheetData>
    <row r="1" ht="30" customHeight="1">
      <c r="A1" s="20" t="inlineStr">
        <is>
          <t>10 · MÉTHODOLOGIE  —  comprendre l'outil de A à Z</t>
        </is>
      </c>
    </row>
    <row r="2" ht="15" customHeight="1">
      <c r="A2" s="21" t="inlineStr">
        <is>
          <t>Pour chaque indicateur : sa source exacte, sa formule, le facteur utilisé et ses limites. Document de référence pour présenter et défendre l'outil.</t>
        </is>
      </c>
    </row>
    <row r="4" ht="18" customHeight="1">
      <c r="A4" s="135" t="inlineStr">
        <is>
          <t>A.  PHILOSOPHIE &amp; PORTÉE</t>
        </is>
      </c>
      <c r="B4" s="136" t="n"/>
      <c r="C4" s="136" t="n"/>
      <c r="D4" s="136" t="n"/>
      <c r="E4" s="136" t="n"/>
      <c r="F4" s="136" t="n"/>
    </row>
    <row r="5" ht="60" customHeight="1">
      <c r="A5" s="137" t="inlineStr">
        <is>
          <t>Cet outil produit une ESTIMATION d'amorçage de la performance de durabilité d'une PME, à partir de trois sources : le FEC (comptabilité), les DSN (données sociales) et des saisies manuelles. Il s'appuie sur le référentiel VSME (norme volontaire d'information en durabilité pour les PME non cotées, EFRAG, décembre 2024). Son objectif est d'amorcer le dialogue entre l'expert-comptable et le dirigeant, pas de produire un bilan carbone réglementaire.</t>
        </is>
      </c>
    </row>
    <row r="6" ht="60" customHeight="1">
      <c r="A6" s="137" t="inlineStr">
        <is>
          <t>Principe central : les impacts environnementaux sont approchés à partir de montants comptables, par NUMÉRO DE COMPTE. C'est une estimation par ratios, transparente et reproductible, mais dont la précision dépend des prix et facteurs retenus. Les Scopes 1 et 2 sont estimés de façon raisonnable ; le Scope 3 n'est que partiellement couvert et reste la catégorie la plus incertaine.</t>
        </is>
      </c>
    </row>
    <row r="8" ht="18" customHeight="1">
      <c r="A8" s="135" t="inlineStr">
        <is>
          <t>B.  COMMENT FONCTIONNE LE MOTEUR</t>
        </is>
      </c>
      <c r="B8" s="136" t="n"/>
      <c r="C8" s="136" t="n"/>
      <c r="D8" s="136" t="n"/>
      <c r="E8" s="136" t="n"/>
      <c r="F8" s="136" t="n"/>
    </row>
    <row r="9" ht="46" customHeight="1">
      <c r="A9" s="137" t="inlineStr">
        <is>
          <t>1) Rattachement par numéro de compte. Chaque compte du FEC est relié à un indicateur via le préfixe le plus long qui le décrit dans la table de la feuille 09 (ex. 606110 est reconnu par le préfixe « 606110 » s'il existe, sinon « 60611 », sinon « 6061 », etc.). Cette table est entièrement modifiable.</t>
        </is>
      </c>
    </row>
    <row r="10" ht="60" customHeight="1">
      <c r="A10" s="137" t="inlineStr">
        <is>
          <t>2) Deux méthodes de conversion. Méthode PHYSIQUE : le montant en euros est converti en quantité physique via un prix unitaire (ex. € d'électricité ÷ prix du kWh = kWh), puis en CO2 via un facteur d'émission physique. Méthode MONÉTAIRE : le montant est multiplié directement par un ratio kgCO2e/€ (utilisée pour les achats, transports, numérique). Certains comptes (salaires, impôts, financier) ne sont pas convertis en CO2.</t>
        </is>
      </c>
    </row>
    <row r="11" ht="46" customHeight="1">
      <c r="A11" s="137" t="inlineStr">
        <is>
          <t>3) Règle estimé / déclaré. Pour l'énergie et les Scopes 1 et 2, si vous saisissez une valeur réelle mesurée en feuille 02, elle remplace l'estimation issue du FEC. C'est la logique VSME : la donnée mesurée prime toujours sur l'estimation.</t>
        </is>
      </c>
    </row>
    <row r="12" ht="32" customHeight="1">
      <c r="A12" s="137" t="inlineStr">
        <is>
          <t>4) Formules vivantes. Les colonnes de calcul de la feuille 06 et les ratios du tableau de bord sont des formules Excel : modifier un prix ou un facteur en feuille 09 recalcule tout instantanément, sans relancer de macro.</t>
        </is>
      </c>
    </row>
    <row r="14" ht="18" customHeight="1">
      <c r="A14" s="135" t="inlineStr">
        <is>
          <t>C.  MODE OPÉRATOIRE</t>
        </is>
      </c>
      <c r="B14" s="136" t="n"/>
      <c r="C14" s="136" t="n"/>
      <c r="D14" s="136" t="n"/>
      <c r="E14" s="136" t="n"/>
      <c r="F14" s="136" t="n"/>
    </row>
    <row r="15" ht="88" customHeight="1">
      <c r="A15" s="137" t="inlineStr">
        <is>
          <t>L'outil démarre vide ; tout passe par les boutons de la feuille 01. (1) Placez le FEC (.txt) et les 12 DSN (.dsn) dans un même dossier. (2) Renseignez en feuille 01 le dossier, le nom du FEC et l'extension DSN. (3) Cliquez « Importer le FEC » puis « Importer les DSN » (feuilles 04 et 05). (4) Cliquez « Générer la balance ESG » : la feuille 06 rattache chaque compte, la feuille 07 synthétise le social. (5) Complétez les cellules jaunes de la feuille 02. (6) Lisez le tableau de bord (feuille 03). Le bouton « Réinitialiser » efface les données sans toucher aux paramètres ; « Actualiser les tarifs » tente une mise à jour web (la saisie manuelle restant prioritaire).</t>
        </is>
      </c>
    </row>
    <row r="17" ht="18" customHeight="1">
      <c r="A17" s="135" t="inlineStr">
        <is>
          <t>D.  DICTIONNAIRE DES INDICATEURS</t>
        </is>
      </c>
      <c r="B17" s="136" t="n"/>
      <c r="C17" s="136" t="n"/>
      <c r="D17" s="136" t="n"/>
      <c r="E17" s="136" t="n"/>
      <c r="F17" s="136" t="n"/>
    </row>
    <row r="18" ht="26" customHeight="1">
      <c r="A18" s="138" t="inlineStr">
        <is>
          <t>Indicateur</t>
        </is>
      </c>
      <c r="B18" s="138" t="inlineStr">
        <is>
          <t>ESRS</t>
        </is>
      </c>
      <c r="C18" s="138" t="inlineStr">
        <is>
          <t>Source</t>
        </is>
      </c>
      <c r="D18" s="138" t="inlineStr">
        <is>
          <t>Calcul / méthode</t>
        </is>
      </c>
      <c r="E18" s="138" t="inlineStr">
        <is>
          <t>Facteur &amp; référence</t>
        </is>
      </c>
      <c r="F18" s="138" t="inlineStr">
        <is>
          <t>Hypothèses / limites</t>
        </is>
      </c>
    </row>
    <row r="19" ht="20" customHeight="1">
      <c r="A19" s="139" t="inlineStr">
        <is>
          <t>ENVIRONNEMENT</t>
        </is>
      </c>
    </row>
    <row r="20" ht="30" customHeight="1">
      <c r="A20" s="140" t="inlineStr">
        <is>
          <t>Émissions GES totales</t>
        </is>
      </c>
      <c r="B20" s="141" t="inlineStr">
        <is>
          <t>E1</t>
        </is>
      </c>
      <c r="C20" s="141" t="inlineStr">
        <is>
          <t>FEC + Saisie</t>
        </is>
      </c>
      <c r="D20" s="141" t="inlineStr">
        <is>
          <t>Scopes 1+2 retenus (déclarés si saisis, sinon estimés) + Scope 3 estimé, en tCO2e</t>
        </is>
      </c>
      <c r="E20" s="141" t="inlineStr">
        <is>
          <t>Facteurs ADEME Base Empreinte (feuille 09)</t>
        </is>
      </c>
      <c r="F20" s="141" t="inlineStr">
        <is>
          <t>Estimation, pas un bilan réglementaire ; Scope 3 partiel</t>
        </is>
      </c>
    </row>
    <row r="21" ht="30" customHeight="1">
      <c r="A21" s="140" t="inlineStr">
        <is>
          <t>Scope 1 (combustion directe)</t>
        </is>
      </c>
      <c r="B21" s="141" t="inlineStr">
        <is>
          <t>E1</t>
        </is>
      </c>
      <c r="C21" s="141" t="inlineStr">
        <is>
          <t>FEC</t>
        </is>
      </c>
      <c r="D21" s="141" t="inlineStr">
        <is>
          <t>Comptes carburants/gaz : € → litres ou kWh via prix, × facteur de combustion</t>
        </is>
      </c>
      <c r="E21" s="141" t="inlineStr">
        <is>
          <t>FE gazole 3,07 ; gaz 0,227 kgCO2e/u (ADEME)</t>
        </is>
      </c>
      <c r="F21" s="141" t="inlineStr">
        <is>
          <t>Suppose une combustion directe (flotte, chauffage sur site)</t>
        </is>
      </c>
    </row>
    <row r="22" ht="30" customHeight="1">
      <c r="A22" s="140" t="inlineStr">
        <is>
          <t>Scope 2 (énergie achetée)</t>
        </is>
      </c>
      <c r="B22" s="141" t="inlineStr">
        <is>
          <t>E1</t>
        </is>
      </c>
      <c r="C22" s="141" t="inlineStr">
        <is>
          <t>FEC</t>
        </is>
      </c>
      <c r="D22" s="141" t="inlineStr">
        <is>
          <t>606110 électricité, 606140 chaleur : € → kWh via prix, × FE</t>
        </is>
      </c>
      <c r="E22" s="141" t="inlineStr">
        <is>
          <t>FE élec 0,052 ; chaleur 0,116 kgCO2e/kWh (ADEME)</t>
        </is>
      </c>
      <c r="F22" s="141" t="inlineStr">
        <is>
          <t>Facteur moyen France, ne reflète pas le mix réel du fournisseur</t>
        </is>
      </c>
    </row>
    <row r="23" ht="30" customHeight="1">
      <c r="A23" s="140" t="inlineStr">
        <is>
          <t>Scope 3 (amont/aval)</t>
        </is>
      </c>
      <c r="B23" s="141" t="inlineStr">
        <is>
          <t>E1</t>
        </is>
      </c>
      <c r="C23" s="141" t="inlineStr">
        <is>
          <t>FEC</t>
        </is>
      </c>
      <c r="D23" s="141" t="inlineStr">
        <is>
          <t>Achats, transports, numérique : € × ratio monétaire kgCO2e/€</t>
        </is>
      </c>
      <c r="E23" s="141" t="inlineStr">
        <is>
          <t>Ratios monétaires ADEME (indicatifs)</t>
        </is>
      </c>
      <c r="F23" s="141" t="inlineStr">
        <is>
          <t>Catégorie la plus incertaine ; couverture partielle</t>
        </is>
      </c>
    </row>
    <row r="24" ht="30" customHeight="1">
      <c r="A24" s="140" t="inlineStr">
        <is>
          <t>Intensité carbone / CA</t>
        </is>
      </c>
      <c r="B24" s="141" t="inlineStr">
        <is>
          <t>E1</t>
        </is>
      </c>
      <c r="C24" s="141" t="inlineStr">
        <is>
          <t>Auto</t>
        </is>
      </c>
      <c r="D24" s="141" t="inlineStr">
        <is>
          <t>GES retenus ÷ (CA ÷ 1 000 000)</t>
        </is>
      </c>
      <c r="E24" s="141" t="inlineStr">
        <is>
          <t>—</t>
        </is>
      </c>
      <c r="F24" s="141" t="inlineStr">
        <is>
          <t>Dépend de la qualité de l'estimation GES</t>
        </is>
      </c>
    </row>
    <row r="25" ht="20" customHeight="1">
      <c r="A25" s="140" t="inlineStr">
        <is>
          <t>Intensité carbone / ETP</t>
        </is>
      </c>
      <c r="B25" s="141" t="inlineStr">
        <is>
          <t>E1</t>
        </is>
      </c>
      <c r="C25" s="141" t="inlineStr">
        <is>
          <t>Auto</t>
        </is>
      </c>
      <c r="D25" s="141" t="inlineStr">
        <is>
          <t>GES retenus ÷ ETP</t>
        </is>
      </c>
      <c r="E25" s="141" t="inlineStr">
        <is>
          <t>—</t>
        </is>
      </c>
      <c r="F25" s="141" t="inlineStr">
        <is>
          <t>ETP issu des DSN</t>
        </is>
      </c>
    </row>
    <row r="26" ht="30" customHeight="1">
      <c r="A26" s="140" t="inlineStr">
        <is>
          <t>Énergie consommée</t>
        </is>
      </c>
      <c r="B26" s="141" t="inlineStr">
        <is>
          <t>E1</t>
        </is>
      </c>
      <c r="C26" s="141" t="inlineStr">
        <is>
          <t>FEC + Saisie</t>
        </is>
      </c>
      <c r="D26" s="141" t="inlineStr">
        <is>
          <t>Σ kWh estimés (élec+gaz+chaleur), ou valeur déclarée en MWh</t>
        </is>
      </c>
      <c r="E26" s="141" t="inlineStr">
        <is>
          <t>Prix élec 0,25 €/kWh, gaz 0,11… (feuille 09)</t>
        </is>
      </c>
      <c r="F26" s="141" t="inlineStr">
        <is>
          <t>Estimée via prix moyens si non déclarée</t>
        </is>
      </c>
    </row>
    <row r="27" ht="20" customHeight="1">
      <c r="A27" s="140" t="inlineStr">
        <is>
          <t>Part d'électricité renouvelable</t>
        </is>
      </c>
      <c r="B27" s="141" t="inlineStr">
        <is>
          <t>E1</t>
        </is>
      </c>
      <c r="C27" s="141" t="inlineStr">
        <is>
          <t>Saisie</t>
        </is>
      </c>
      <c r="D27" s="141" t="inlineStr">
        <is>
          <t>Pourcentage saisi</t>
        </is>
      </c>
      <c r="E27" s="141" t="inlineStr">
        <is>
          <t>—</t>
        </is>
      </c>
      <c r="F27" s="141" t="inlineStr">
        <is>
          <t>Déclaratif</t>
        </is>
      </c>
    </row>
    <row r="28" ht="30" customHeight="1">
      <c r="A28" s="140" t="inlineStr">
        <is>
          <t>Eau consommée</t>
        </is>
      </c>
      <c r="B28" s="141" t="inlineStr">
        <is>
          <t>E3</t>
        </is>
      </c>
      <c r="C28" s="141" t="inlineStr">
        <is>
          <t>FEC + Saisie</t>
        </is>
      </c>
      <c r="D28" s="141" t="inlineStr">
        <is>
          <t>60613x : € → m³ via prix de l'eau, ou valeur déclarée</t>
        </is>
      </c>
      <c r="E28" s="141" t="inlineStr">
        <is>
          <t>Prix de l'eau 4,30 €/m³ (feuille 09)</t>
        </is>
      </c>
      <c r="F28" s="141" t="inlineStr">
        <is>
          <t>Estimation si non relevée au compteur</t>
        </is>
      </c>
    </row>
    <row r="29" ht="30" customHeight="1">
      <c r="A29" s="140" t="inlineStr">
        <is>
          <t>Prélèvements d'eau</t>
        </is>
      </c>
      <c r="B29" s="141" t="inlineStr">
        <is>
          <t>E3</t>
        </is>
      </c>
      <c r="C29" s="141" t="inlineStr">
        <is>
          <t>Saisie / FEC</t>
        </is>
      </c>
      <c r="D29" s="141" t="inlineStr">
        <is>
          <t>Valeur déclarée, sinon consommation retenue</t>
        </is>
      </c>
      <c r="E29" s="141" t="inlineStr">
        <is>
          <t>—</t>
        </is>
      </c>
      <c r="F29" s="141" t="inlineStr">
        <is>
          <t>Pertinent surtout si process consommateur d'eau</t>
        </is>
      </c>
    </row>
    <row r="30" ht="30" customHeight="1">
      <c r="A30" s="140" t="inlineStr">
        <is>
          <t>Déchets produits / dangereux</t>
        </is>
      </c>
      <c r="B30" s="141" t="inlineStr">
        <is>
          <t>E5</t>
        </is>
      </c>
      <c r="C30" s="141" t="inlineStr">
        <is>
          <t>Saisie</t>
        </is>
      </c>
      <c r="D30" s="141" t="inlineStr">
        <is>
          <t>Tonnage total et part dangereuse saisis</t>
        </is>
      </c>
      <c r="E30" s="141" t="inlineStr">
        <is>
          <t>—</t>
        </is>
      </c>
      <c r="F30" s="141" t="inlineStr">
        <is>
          <t>Quantité physique absente de la comptabilité</t>
        </is>
      </c>
    </row>
    <row r="31" ht="20" customHeight="1">
      <c r="A31" s="140" t="inlineStr">
        <is>
          <t>Taux de valorisation des déchets</t>
        </is>
      </c>
      <c r="B31" s="141" t="inlineStr">
        <is>
          <t>E5</t>
        </is>
      </c>
      <c r="C31" s="141" t="inlineStr">
        <is>
          <t>Saisie</t>
        </is>
      </c>
      <c r="D31" s="141" t="inlineStr">
        <is>
          <t>Pourcentage saisi</t>
        </is>
      </c>
      <c r="E31" s="141" t="inlineStr">
        <is>
          <t>—</t>
        </is>
      </c>
      <c r="F31" s="141" t="inlineStr">
        <is>
          <t>Déclaratif</t>
        </is>
      </c>
    </row>
    <row r="32" ht="20" customHeight="1">
      <c r="A32" s="140" t="inlineStr">
        <is>
          <t>Intensité déchets / CA</t>
        </is>
      </c>
      <c r="B32" s="141" t="inlineStr">
        <is>
          <t>E5</t>
        </is>
      </c>
      <c r="C32" s="141" t="inlineStr">
        <is>
          <t>Auto</t>
        </is>
      </c>
      <c r="D32" s="141" t="inlineStr">
        <is>
          <t>Déchets (kg) ÷ (CA ÷ 1 000 000)</t>
        </is>
      </c>
      <c r="E32" s="141" t="inlineStr">
        <is>
          <t>—</t>
        </is>
      </c>
      <c r="F32" s="141" t="inlineStr">
        <is>
          <t>—</t>
        </is>
      </c>
    </row>
    <row r="33" ht="20" customHeight="1">
      <c r="A33" s="142" t="inlineStr">
        <is>
          <t>SOCIAL</t>
        </is>
      </c>
    </row>
    <row r="34" ht="30" customHeight="1">
      <c r="A34" s="140" t="inlineStr">
        <is>
          <t>Effectif moyen</t>
        </is>
      </c>
      <c r="B34" s="141" t="inlineStr">
        <is>
          <t>S1</t>
        </is>
      </c>
      <c r="C34" s="141" t="inlineStr">
        <is>
          <t>DSN</t>
        </is>
      </c>
      <c r="D34" s="141" t="inlineStr">
        <is>
          <t>Moyenne mensuelle des NIR distincts (S21.G00.30.001)</t>
        </is>
      </c>
      <c r="E34" s="141" t="inlineStr">
        <is>
          <t>—</t>
        </is>
      </c>
      <c r="F34" s="141" t="inlineStr">
        <is>
          <t>Sur les mois effectivement transmis</t>
        </is>
      </c>
    </row>
    <row r="35" ht="30" customHeight="1">
      <c r="A35" s="140" t="inlineStr">
        <is>
          <t>ETP</t>
        </is>
      </c>
      <c r="B35" s="141" t="inlineStr">
        <is>
          <t>S1</t>
        </is>
      </c>
      <c r="C35" s="141" t="inlineStr">
        <is>
          <t>DSN</t>
        </is>
      </c>
      <c r="D35" s="141" t="inlineStr">
        <is>
          <t>Σ quotités (40.013) ÷ 151,67 par mois, puis moyenne</t>
        </is>
      </c>
      <c r="E35" s="141" t="inlineStr">
        <is>
          <t>—</t>
        </is>
      </c>
      <c r="F35" s="141" t="inlineStr">
        <is>
          <t>151,67 h = base temps plein mensuel</t>
        </is>
      </c>
    </row>
    <row r="36" ht="20" customHeight="1">
      <c r="A36" s="140" t="inlineStr">
        <is>
          <t>Taux de féminisation</t>
        </is>
      </c>
      <c r="B36" s="141" t="inlineStr">
        <is>
          <t>S1</t>
        </is>
      </c>
      <c r="C36" s="141" t="inlineStr">
        <is>
          <t>DSN</t>
        </is>
      </c>
      <c r="D36" s="141" t="inlineStr">
        <is>
          <t>Femmes ÷ (H+F), sexe en rubrique 30.005</t>
        </is>
      </c>
      <c r="E36" s="141" t="inlineStr">
        <is>
          <t>—</t>
        </is>
      </c>
      <c r="F36" s="141" t="inlineStr">
        <is>
          <t>—</t>
        </is>
      </c>
    </row>
    <row r="37" ht="20" customHeight="1">
      <c r="A37" s="140" t="inlineStr">
        <is>
          <t>Part de contrats CDI</t>
        </is>
      </c>
      <c r="B37" s="141" t="inlineStr">
        <is>
          <t>S1</t>
        </is>
      </c>
      <c r="C37" s="141" t="inlineStr">
        <is>
          <t>DSN</t>
        </is>
      </c>
      <c r="D37" s="141" t="inlineStr">
        <is>
          <t>CDI ÷ (CDI+CDD), nature de contrat en 40.007</t>
        </is>
      </c>
      <c r="E37" s="141" t="inlineStr">
        <is>
          <t>—</t>
        </is>
      </c>
      <c r="F37" s="141" t="inlineStr">
        <is>
          <t>—</t>
        </is>
      </c>
    </row>
    <row r="38" ht="20" customHeight="1">
      <c r="A38" s="140" t="inlineStr">
        <is>
          <t>Âge moyen</t>
        </is>
      </c>
      <c r="B38" s="141" t="inlineStr">
        <is>
          <t>S1</t>
        </is>
      </c>
      <c r="C38" s="141" t="inlineStr">
        <is>
          <t>DSN</t>
        </is>
      </c>
      <c r="D38" s="141" t="inlineStr">
        <is>
          <t>Année courante − année de naissance (30.006)</t>
        </is>
      </c>
      <c r="E38" s="141" t="inlineStr">
        <is>
          <t>—</t>
        </is>
      </c>
      <c r="F38" s="141" t="inlineStr">
        <is>
          <t>—</t>
        </is>
      </c>
    </row>
    <row r="39" ht="30" customHeight="1">
      <c r="A39" s="140" t="inlineStr">
        <is>
          <t>Couverture conventionnelle</t>
        </is>
      </c>
      <c r="B39" s="141" t="inlineStr">
        <is>
          <t>S1</t>
        </is>
      </c>
      <c r="C39" s="141" t="inlineStr">
        <is>
          <t>DSN</t>
        </is>
      </c>
      <c r="D39" s="141" t="inlineStr">
        <is>
          <t>Salariés avec un IDCC (40.017) ÷ effectif</t>
        </is>
      </c>
      <c r="E39" s="141" t="inlineStr">
        <is>
          <t>—</t>
        </is>
      </c>
      <c r="F39" s="141" t="inlineStr">
        <is>
          <t>Codes 0000/9999 considérés non couverts</t>
        </is>
      </c>
    </row>
    <row r="40" ht="30" customHeight="1">
      <c r="A40" s="140" t="inlineStr">
        <is>
          <t>Écart de rémunération F/H</t>
        </is>
      </c>
      <c r="B40" s="141" t="inlineStr">
        <is>
          <t>S1</t>
        </is>
      </c>
      <c r="C40" s="141" t="inlineStr">
        <is>
          <t>DSN</t>
        </is>
      </c>
      <c r="D40" s="141" t="inlineStr">
        <is>
          <t>(rémH − rémF) ÷ rémH ; rému = Σ des lignes 51.013 par salarié</t>
        </is>
      </c>
      <c r="E40" s="141" t="inlineStr">
        <is>
          <t>—</t>
        </is>
      </c>
      <c r="F40" s="141" t="inlineStr">
        <is>
          <t>Base = toutes les lignes de rému ; indicateur relatif</t>
        </is>
      </c>
    </row>
    <row r="41" ht="30" customHeight="1">
      <c r="A41" s="140" t="inlineStr">
        <is>
          <t>Salariés au-dessus du SMIC</t>
        </is>
      </c>
      <c r="B41" s="141" t="inlineStr">
        <is>
          <t>S1</t>
        </is>
      </c>
      <c r="C41" s="141" t="inlineStr">
        <is>
          <t>DSN + Saisie</t>
        </is>
      </c>
      <c r="D41" s="141" t="inlineStr">
        <is>
          <t>Rému mensuelle ≥ SMIC × quotité ÷ 151,67</t>
        </is>
      </c>
      <c r="E41" s="141" t="inlineStr">
        <is>
          <t>SMIC de référence saisi (feuille 02)</t>
        </is>
      </c>
      <c r="F41" s="141" t="inlineStr">
        <is>
          <t>Seuil proratisé pour le temps partiel</t>
        </is>
      </c>
    </row>
    <row r="42" ht="20" customHeight="1">
      <c r="A42" s="140" t="inlineStr">
        <is>
          <t>Masse salariale brute</t>
        </is>
      </c>
      <c r="B42" s="141" t="inlineStr">
        <is>
          <t>S1</t>
        </is>
      </c>
      <c r="C42" s="141" t="inlineStr">
        <is>
          <t>FEC</t>
        </is>
      </c>
      <c r="D42" s="141" t="inlineStr">
        <is>
          <t>SUMIFS des comptes 641*</t>
        </is>
      </c>
      <c r="E42" s="141" t="inlineStr">
        <is>
          <t>—</t>
        </is>
      </c>
      <c r="F42" s="141" t="inlineStr">
        <is>
          <t>Valeur comptable exacte</t>
        </is>
      </c>
    </row>
    <row r="43" ht="20" customHeight="1">
      <c r="A43" s="140" t="inlineStr">
        <is>
          <t>Poids masse salariale / CA</t>
        </is>
      </c>
      <c r="B43" s="141" t="inlineStr">
        <is>
          <t>S1</t>
        </is>
      </c>
      <c r="C43" s="141" t="inlineStr">
        <is>
          <t>Auto</t>
        </is>
      </c>
      <c r="D43" s="141" t="inlineStr">
        <is>
          <t>Masse salariale ÷ CA</t>
        </is>
      </c>
      <c r="E43" s="141" t="inlineStr">
        <is>
          <t>—</t>
        </is>
      </c>
      <c r="F43" s="141" t="inlineStr">
        <is>
          <t>—</t>
        </is>
      </c>
    </row>
    <row r="44" ht="20" customHeight="1">
      <c r="A44" s="140" t="inlineStr">
        <is>
          <t>Effort de formation</t>
        </is>
      </c>
      <c r="B44" s="141" t="inlineStr">
        <is>
          <t>S1</t>
        </is>
      </c>
      <c r="C44" s="141" t="inlineStr">
        <is>
          <t>Saisie</t>
        </is>
      </c>
      <c r="D44" s="141" t="inlineStr">
        <is>
          <t>Heures de formation ÷ effectif</t>
        </is>
      </c>
      <c r="E44" s="141" t="inlineStr">
        <is>
          <t>—</t>
        </is>
      </c>
      <c r="F44" s="141" t="inlineStr">
        <is>
          <t>Heures non présentes en DSN → saisie</t>
        </is>
      </c>
    </row>
    <row r="45" ht="30" customHeight="1">
      <c r="A45" s="140" t="inlineStr">
        <is>
          <t>Taux d'absentéisme</t>
        </is>
      </c>
      <c r="B45" s="141" t="inlineStr">
        <is>
          <t>S1</t>
        </is>
      </c>
      <c r="C45" s="141" t="inlineStr">
        <is>
          <t>Saisie</t>
        </is>
      </c>
      <c r="D45" s="141" t="inlineStr">
        <is>
          <t>Jours d'absence ÷ (effectif × 228)</t>
        </is>
      </c>
      <c r="E45" s="141" t="inlineStr">
        <is>
          <t>—</t>
        </is>
      </c>
      <c r="F45" s="141" t="inlineStr">
        <is>
          <t>228 jours ouvrés/an retenus comme hypothèse</t>
        </is>
      </c>
    </row>
    <row r="46" ht="30" customHeight="1">
      <c r="A46" s="140" t="inlineStr">
        <is>
          <t>Accidents du travail</t>
        </is>
      </c>
      <c r="B46" s="141" t="inlineStr">
        <is>
          <t>S1</t>
        </is>
      </c>
      <c r="C46" s="141" t="inlineStr">
        <is>
          <t>Saisie</t>
        </is>
      </c>
      <c r="D46" s="141" t="inlineStr">
        <is>
          <t>Nombre saisi</t>
        </is>
      </c>
      <c r="E46" s="141" t="inlineStr">
        <is>
          <t>—</t>
        </is>
      </c>
      <c r="F46" s="141" t="inlineStr">
        <is>
          <t>Bloc « arrêts » absent des DSN fournies → manuel</t>
        </is>
      </c>
    </row>
    <row r="47" ht="20" customHeight="1">
      <c r="A47" s="140" t="inlineStr">
        <is>
          <t>Décès AT / maladies pro.</t>
        </is>
      </c>
      <c r="B47" s="141" t="inlineStr">
        <is>
          <t>S1</t>
        </is>
      </c>
      <c r="C47" s="141" t="inlineStr">
        <is>
          <t>Saisie</t>
        </is>
      </c>
      <c r="D47" s="141" t="inlineStr">
        <is>
          <t>Nombre saisi</t>
        </is>
      </c>
      <c r="E47" s="141" t="inlineStr">
        <is>
          <t>—</t>
        </is>
      </c>
      <c r="F47" s="141" t="inlineStr">
        <is>
          <t>Manuel (VSME)</t>
        </is>
      </c>
    </row>
    <row r="48" ht="30" customHeight="1">
      <c r="A48" s="140" t="inlineStr">
        <is>
          <t>Taux de rotation (turnover)</t>
        </is>
      </c>
      <c r="B48" s="141" t="inlineStr">
        <is>
          <t>S1</t>
        </is>
      </c>
      <c r="C48" s="141" t="inlineStr">
        <is>
          <t>Saisie</t>
        </is>
      </c>
      <c r="D48" s="141" t="inlineStr">
        <is>
          <t>(départs + arrivées) ÷ 2 ÷ effectif</t>
        </is>
      </c>
      <c r="E48" s="141" t="inlineStr">
        <is>
          <t>—</t>
        </is>
      </c>
      <c r="F48" s="141" t="inlineStr">
        <is>
          <t>Bloc « fin de contrat » absent des DSN → manuel</t>
        </is>
      </c>
    </row>
    <row r="49" ht="20" customHeight="1">
      <c r="A49" s="143" t="inlineStr">
        <is>
          <t>GOUVERNANCE</t>
        </is>
      </c>
    </row>
    <row r="50" ht="30" customHeight="1">
      <c r="A50" s="140" t="inlineStr">
        <is>
          <t>Dépenses de pilotage ESG</t>
        </is>
      </c>
      <c r="B50" s="141" t="inlineStr">
        <is>
          <t>G1</t>
        </is>
      </c>
      <c r="C50" s="141" t="inlineStr">
        <is>
          <t>FEC</t>
        </is>
      </c>
      <c r="D50" s="141" t="inlineStr">
        <is>
          <t>SUMIFS du thème « Pilotage ESG » (ex. 622630, 681520)</t>
        </is>
      </c>
      <c r="E50" s="141" t="inlineStr">
        <is>
          <t>—</t>
        </is>
      </c>
      <c r="F50" s="141" t="inlineStr">
        <is>
          <t>Selon le mapping de la feuille 09</t>
        </is>
      </c>
    </row>
    <row r="51" ht="20" customHeight="1">
      <c r="A51" s="140" t="inlineStr">
        <is>
          <t>Dons &amp; mécénat</t>
        </is>
      </c>
      <c r="B51" s="141" t="inlineStr">
        <is>
          <t>G1</t>
        </is>
      </c>
      <c r="C51" s="141" t="inlineStr">
        <is>
          <t>FEC</t>
        </is>
      </c>
      <c r="D51" s="141" t="inlineStr">
        <is>
          <t>SUMIFS du thème « Communauté »</t>
        </is>
      </c>
      <c r="E51" s="141" t="inlineStr">
        <is>
          <t>—</t>
        </is>
      </c>
      <c r="F51" s="141" t="inlineStr">
        <is>
          <t>—</t>
        </is>
      </c>
    </row>
    <row r="52" ht="30" customHeight="1">
      <c r="A52" s="140" t="inlineStr">
        <is>
          <t>Contribution fiscale</t>
        </is>
      </c>
      <c r="B52" s="141" t="inlineStr">
        <is>
          <t>G1</t>
        </is>
      </c>
      <c r="C52" s="141" t="inlineStr">
        <is>
          <t>FEC</t>
        </is>
      </c>
      <c r="D52" s="141" t="inlineStr">
        <is>
          <t>SUMIFS du thème « Fiscalité » (impôts &amp; taxes, classe 63)</t>
        </is>
      </c>
      <c r="E52" s="141" t="inlineStr">
        <is>
          <t>—</t>
        </is>
      </c>
      <c r="F52" s="141" t="inlineStr">
        <is>
          <t>Impôts et taxes d'exploitation</t>
        </is>
      </c>
    </row>
    <row r="53" ht="20" customHeight="1">
      <c r="A53" s="140" t="inlineStr">
        <is>
          <t>Charges sociales</t>
        </is>
      </c>
      <c r="B53" s="141" t="inlineStr">
        <is>
          <t>G1</t>
        </is>
      </c>
      <c r="C53" s="141" t="inlineStr">
        <is>
          <t>FEC</t>
        </is>
      </c>
      <c r="D53" s="141" t="inlineStr">
        <is>
          <t>SUMIFS des comptes 645*</t>
        </is>
      </c>
      <c r="E53" s="141" t="inlineStr">
        <is>
          <t>—</t>
        </is>
      </c>
      <c r="F53" s="141" t="inlineStr">
        <is>
          <t>—</t>
        </is>
      </c>
    </row>
    <row r="54" ht="20" customHeight="1">
      <c r="A54" s="140" t="inlineStr">
        <is>
          <t>Part d'achats locaux</t>
        </is>
      </c>
      <c r="B54" s="141" t="inlineStr">
        <is>
          <t>G1</t>
        </is>
      </c>
      <c r="C54" s="141" t="inlineStr">
        <is>
          <t>Saisie</t>
        </is>
      </c>
      <c r="D54" s="141" t="inlineStr">
        <is>
          <t>Pourcentage saisi</t>
        </is>
      </c>
      <c r="E54" s="141" t="inlineStr">
        <is>
          <t>—</t>
        </is>
      </c>
      <c r="F54" s="141" t="inlineStr">
        <is>
          <t>Déclaratif</t>
        </is>
      </c>
    </row>
    <row r="55" ht="30" customHeight="1">
      <c r="A55" s="140" t="inlineStr">
        <is>
          <t>Condamnations / amendes (corruption)</t>
        </is>
      </c>
      <c r="B55" s="141" t="inlineStr">
        <is>
          <t>G1</t>
        </is>
      </c>
      <c r="C55" s="141" t="inlineStr">
        <is>
          <t>Saisie</t>
        </is>
      </c>
      <c r="D55" s="141" t="inlineStr">
        <is>
          <t>Nombre et montant saisis</t>
        </is>
      </c>
      <c r="E55" s="141" t="inlineStr">
        <is>
          <t>—</t>
        </is>
      </c>
      <c r="F55" s="141" t="inlineStr">
        <is>
          <t>Déclaratif (VSME G1)</t>
        </is>
      </c>
    </row>
    <row r="57" ht="18" customHeight="1">
      <c r="A57" s="144" t="inlineStr">
        <is>
          <t>E.  LIMITES CONNUES &amp; BONNES PRATIQUES</t>
        </is>
      </c>
      <c r="B57" s="145" t="n"/>
      <c r="C57" s="145" t="n"/>
      <c r="D57" s="145" t="n"/>
      <c r="E57" s="145" t="n"/>
      <c r="F57" s="145" t="n"/>
    </row>
    <row r="58" ht="116" customHeight="1">
      <c r="A58" s="137" t="inlineStr">
        <is>
          <t>• Estimation, non un bilan réglementaire : les résultats donnent des ordres de grandeur pour amorcer la discussion, pas des valeurs auditées. • Sensibilité aux paramètres : prix et facteurs (feuille 09) influencent directement les résultats ; ils doivent être actualisés et, idéalement, remplacés par des données réelles via les champs « déclaré ». • Scope 3 partiel : seules certaines catégories d'achats sont approchées. • Données sociales : certains indicateurs VSME (accidents, turnover) dépendent de blocs DSN qui n'étaient pas transmis ici et restent donc en saisie manuelle. • Facteurs indicatifs : les valeurs ADEME utilisées sont des ordres de grandeur, à valider au cas par cas. • Traçabilité : la colonne « Source » du tableau de bord indique pour chaque indicateur s'il vient du FEC, de la DSN, d'une saisie ou d'un calcul automatique.</t>
        </is>
      </c>
    </row>
  </sheetData>
  <mergeCells count="18">
    <mergeCell ref="A2:F2"/>
    <mergeCell ref="A11:F11"/>
    <mergeCell ref="A33:F33"/>
    <mergeCell ref="A10:F10"/>
    <mergeCell ref="A49:F49"/>
    <mergeCell ref="A19:F19"/>
    <mergeCell ref="A14:F14"/>
    <mergeCell ref="A1:F1"/>
    <mergeCell ref="A5:F5"/>
    <mergeCell ref="A9:F9"/>
    <mergeCell ref="A8:F8"/>
    <mergeCell ref="A6:F6"/>
    <mergeCell ref="A58:F58"/>
    <mergeCell ref="A17:F17"/>
    <mergeCell ref="A12:F12"/>
    <mergeCell ref="A4:F4"/>
    <mergeCell ref="A15:F15"/>
    <mergeCell ref="A57:F57"/>
  </mergeCells>
  <printOptions horizontalCentered="1"/>
  <pageMargins left="0.3" right="0.3" top="0.4" bottom="0.4" header="0.5" footer="0.5"/>
  <pageSetup orientation="landscape" fitToHeight="0" fitToWidth="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Yassine Remmal</dc:creator>
  <dcterms:created xmlns:dcterms="http://purl.org/dc/terms/" xmlns:xsi="http://www.w3.org/2001/XMLSchema-instance" xsi:type="dcterms:W3CDTF">2026-06-24T20:07:37Z</dcterms:created>
  <dcterms:modified xmlns:dcterms="http://purl.org/dc/terms/" xmlns:xsi="http://www.w3.org/2001/XMLSchema-instance" xsi:type="dcterms:W3CDTF">2026-06-27T13:44:54Z</dcterms:modified>
  <cp:lastModifiedBy>REMMAL YASSINE</cp:lastModifiedBy>
</cp:coreProperties>
</file>