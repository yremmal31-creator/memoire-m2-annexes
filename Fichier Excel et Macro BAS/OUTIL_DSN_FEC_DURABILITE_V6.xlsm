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Remm\Downloads\"/>
    </mc:Choice>
  </mc:AlternateContent>
  <xr:revisionPtr revIDLastSave="0" documentId="13_ncr:1_{91E0DD12-E5D7-48D0-8CD4-7209699727E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01_ACCUEIL" sheetId="1" r:id="rId1"/>
    <sheet name="02_DONNEES" sheetId="2" r:id="rId2"/>
    <sheet name="03_TABLEAU_DE_BORD" sheetId="3" r:id="rId3"/>
    <sheet name="04_FEC_BRUT" sheetId="4" r:id="rId4"/>
    <sheet name="05_DSN_BRUT" sheetId="5" r:id="rId5"/>
    <sheet name="06_BALANCE_ESG" sheetId="6" r:id="rId6"/>
    <sheet name="07_SOCIAL_DSN" sheetId="7" r:id="rId7"/>
    <sheet name="08_CONTROLES" sheetId="8" r:id="rId8"/>
    <sheet name="09_PARAMETRES_SOURCES" sheetId="9" r:id="rId9"/>
  </sheets>
  <definedNames>
    <definedName name="AGE">'08_CONTROLES'!$C$46</definedName>
    <definedName name="BG_CLASSE">'06_BALANCE_ESG'!$C$5:$C$5004</definedName>
    <definedName name="BG_CPT">'06_BALANCE_ESG'!$A$5:$A$5004</definedName>
    <definedName name="BG_ESRS">'06_BALANCE_ESG'!$M$5:$M$5004</definedName>
    <definedName name="BG_INDIC">'06_BALANCE_ESG'!$J$5:$J$5004</definedName>
    <definedName name="BG_MONTANT">'06_BALANCE_ESG'!$H$5:$H$5004</definedName>
    <definedName name="BG_PILIER">'06_BALANCE_ESG'!$K$5:$K$5004</definedName>
    <definedName name="BG_PREF2">'06_BALANCE_ESG'!$D$5:$D$5004</definedName>
    <definedName name="BG_QTE">'06_BALANCE_ESG'!$U$5:$U$5004</definedName>
    <definedName name="BG_SCOPE">'06_BALANCE_ESG'!$N$5:$N$5004</definedName>
    <definedName name="BG_TCO2">'06_BALANCE_ESG'!$W$5:$W$5004</definedName>
    <definedName name="BG_THEME">'06_BALANCE_ESG'!$L$5:$L$5004</definedName>
    <definedName name="BG_UNITE">'06_BALANCE_ESG'!$O$5:$O$5004</definedName>
    <definedName name="CA">'08_CONTROLES'!$C$14</definedName>
    <definedName name="CDD_AVG">'08_CONTROLES'!$C$44</definedName>
    <definedName name="CDI_AVG">'08_CONTROLES'!$C$43</definedName>
    <definedName name="CHARGES">'08_CONTROLES'!$C$16</definedName>
    <definedName name="CHARGES_SOC">'08_CONTROLES'!$C$34</definedName>
    <definedName name="D_AGE">'07_SOCIAL_DSN'!$H$5:$H$40</definedName>
    <definedName name="D_CDD">'07_SOCIAL_DSN'!$G$5:$G$40</definedName>
    <definedName name="D_CDI">'07_SOCIAL_DSN'!$F$5:$F$40</definedName>
    <definedName name="D_CONV">'07_SOCIAL_DSN'!$K$5:$K$40</definedName>
    <definedName name="D_EFF">'07_SOCIAL_DSN'!$B$5:$B$40</definedName>
    <definedName name="D_ETP">'07_SOCIAL_DSN'!$E$5:$E$40</definedName>
    <definedName name="D_F">'07_SOCIAL_DSN'!$D$5:$D$40</definedName>
    <definedName name="D_H">'07_SOCIAL_DSN'!$C$5:$C$40</definedName>
    <definedName name="D_MOIS">'07_SOCIAL_DSN'!$A$5:$A$40</definedName>
    <definedName name="D_REMF">'07_SOCIAL_DSN'!$M$5:$M$40</definedName>
    <definedName name="D_REMH">'07_SOCIAL_DSN'!$L$5:$L$40</definedName>
    <definedName name="D_SMIC">'07_SOCIAL_DSN'!$N$5:$N$40</definedName>
    <definedName name="DECHET_T">'08_CONTROLES'!$C$28</definedName>
    <definedName name="DONS">'08_CONTROLES'!$C$36</definedName>
    <definedName name="EAU_AUTO">'08_CONTROLES'!$C$25</definedName>
    <definedName name="EAU_M3">'08_CONTROLES'!$C$26</definedName>
    <definedName name="EAU_PRELEV_RET">'08_CONTROLES'!$C$27</definedName>
    <definedName name="ECART_REMU">'08_CONTROLES'!$C$50</definedName>
    <definedName name="EFF">'08_CONTROLES'!$C$38</definedName>
    <definedName name="ENER_CHAL">'08_CONTROLES'!$C$23</definedName>
    <definedName name="ENER_ELEC">'08_CONTROLES'!$C$21</definedName>
    <definedName name="ENER_GAZ">'08_CONTROLES'!$C$22</definedName>
    <definedName name="ENER_MWH">'08_CONTROLES'!$C$32</definedName>
    <definedName name="ENER_TOT">'08_CONTROLES'!$C$24</definedName>
    <definedName name="ETP">'08_CONTROLES'!$C$39</definedName>
    <definedName name="F_AVG">'08_CONTROLES'!$C$41</definedName>
    <definedName name="FISCAL">'08_CONTROLES'!$C$37</definedName>
    <definedName name="GES_RET">'08_CONTROLES'!$C$31</definedName>
    <definedName name="GES_TOT">'08_CONTROLES'!$C$20</definedName>
    <definedName name="GES1">'08_CONTROLES'!$C$17</definedName>
    <definedName name="GES2">'08_CONTROLES'!$C$18</definedName>
    <definedName name="GES3">'08_CONTROLES'!$C$19</definedName>
    <definedName name="H_AVG">'08_CONTROLES'!$C$40</definedName>
    <definedName name="M_ABSENCE_JOURS">'02_DONNEES'!$D$31</definedName>
    <definedName name="M_ACHAT_LOCAL">'02_DONNEES'!$D$46</definedName>
    <definedName name="M_AMENDES">'02_DONNEES'!$D$48</definedName>
    <definedName name="M_AT">'02_DONNEES'!$D$28</definedName>
    <definedName name="M_AT_DECES">'02_DONNEES'!$D$30</definedName>
    <definedName name="M_AT_JOURS">'02_DONNEES'!$D$29</definedName>
    <definedName name="M_BIODIV_SITES">'02_DONNEES'!$D$18</definedName>
    <definedName name="M_CARBURANT">'02_DONNEES'!$D$25</definedName>
    <definedName name="M_CODE_CONDUITE">'02_DONNEES'!$D$43</definedName>
    <definedName name="M_CONDAMNATIONS">'02_DONNEES'!$D$47</definedName>
    <definedName name="M_DECHET_DANGEREUX">'02_DONNEES'!$D$22</definedName>
    <definedName name="M_DECHET_T">'02_DONNEES'!$D$21</definedName>
    <definedName name="M_DECHET_VALOR">'02_DONNEES'!$D$23</definedName>
    <definedName name="M_EAU_M3">'02_DONNEES'!$D$14</definedName>
    <definedName name="M_EAU_PRELEV">'02_DONNEES'!$D$15</definedName>
    <definedName name="M_ELEC_RENOUV">'02_DONNEES'!$D$9</definedName>
    <definedName name="M_ENERGIE_DECL">'02_DONNEES'!$D$7</definedName>
    <definedName name="M_FEMMES_CADRES">'02_DONNEES'!$D$36</definedName>
    <definedName name="M_FLUX_MATIERES">'02_DONNEES'!$D$24</definedName>
    <definedName name="M_FORM_EFFECTIF">'02_DONNEES'!$D$35</definedName>
    <definedName name="M_FORM_HEURES">'02_DONNEES'!$D$32</definedName>
    <definedName name="M_FORM_HEURES_F">'02_DONNEES'!$D$33</definedName>
    <definedName name="M_FORM_HEURES_H">'02_DONNEES'!$D$34</definedName>
    <definedName name="M_OBJ_CO2">'02_DONNEES'!$D$51</definedName>
    <definedName name="M_OBJ_FEMMES">'02_DONNEES'!$D$52</definedName>
    <definedName name="M_OBJ_FORM">'02_DONNEES'!$D$53</definedName>
    <definedName name="M_PART_COMBUST">'02_DONNEES'!$D$8</definedName>
    <definedName name="M_POL_DURABLE">'02_DONNEES'!$D$44</definedName>
    <definedName name="M_POLLUANTS">'02_DONNEES'!$D$17</definedName>
    <definedName name="M_REFERENTIEL">'02_DONNEES'!$D$42</definedName>
    <definedName name="M_SCOPE1_DECL">'02_DONNEES'!$D$10</definedName>
    <definedName name="M_SCOPE2_DECL">'02_DONNEES'!$D$11</definedName>
    <definedName name="M_SMIC_MENSUEL">'02_DONNEES'!$D$39</definedName>
    <definedName name="M_SOC_MISSION">'02_DONNEES'!$D$45</definedName>
    <definedName name="M_STRESS_HYDR">'02_DONNEES'!$D$16</definedName>
    <definedName name="M_SURFACE">'02_DONNEES'!$D$19</definedName>
    <definedName name="M_SURFACE_IMPER">'02_DONNEES'!$D$20</definedName>
    <definedName name="M_TURN_ARR">'02_DONNEES'!$D$38</definedName>
    <definedName name="M_TURN_DEP">'02_DONNEES'!$D$37</definedName>
    <definedName name="MAJ_GLOBALE">'09_PARAMETRES_SOURCES'!#REF!</definedName>
    <definedName name="MASSE_SAL">'08_CONTROLES'!$C$33</definedName>
    <definedName name="NSMIC_AVG">'08_CONTROLES'!$C$51</definedName>
    <definedName name="P_ESRS">'09_PARAMETRES_SOURCES'!$E$27:$E$133</definedName>
    <definedName name="P_FEMO">'09_PARAMETRES_SOURCES'!$L$27:$L$133</definedName>
    <definedName name="P_FEPH">'09_PARAMETRES_SOURCES'!$K$27:$K$133</definedName>
    <definedName name="P_FEUR">'09_PARAMETRES_SOURCES'!$J$27:$J$133</definedName>
    <definedName name="P_IND">'09_PARAMETRES_SOURCES'!$B$27:$B$133</definedName>
    <definedName name="P_METH">'09_PARAMETRES_SOURCES'!$H$27:$H$133</definedName>
    <definedName name="P_PIL">'09_PARAMETRES_SOURCES'!$C$27:$C$133</definedName>
    <definedName name="P_PREF">'09_PARAMETRES_SOURCES'!$A$27:$A$133</definedName>
    <definedName name="P_SCOPE">'09_PARAMETRES_SOURCES'!$F$27:$F$133</definedName>
    <definedName name="P_THE">'09_PARAMETRES_SOURCES'!$D$27:$D$133</definedName>
    <definedName name="P_TYPE">'09_PARAMETRES_SOURCES'!$I$27:$I$133</definedName>
    <definedName name="P_UNIT">'09_PARAMETRES_SOURCES'!$G$27:$G$133</definedName>
    <definedName name="PARAM_DOSSIER">'01_ACCUEIL'!$C$6</definedName>
    <definedName name="PARAM_DSNEXT">'01_ACCUEIL'!$C$8</definedName>
    <definedName name="PARAM_FEC">'01_ACCUEIL'!$C$7</definedName>
    <definedName name="PCT_CDI">'08_CONTROLES'!$C$45</definedName>
    <definedName name="PCT_CONV">'08_CONTROLES'!$C$47</definedName>
    <definedName name="PCT_F">'08_CONTROLES'!$C$42</definedName>
    <definedName name="PCT_SMIC">'08_CONTROLES'!$C$52</definedName>
    <definedName name="PILOTAGE_ESG">'08_CONTROLES'!$C$35</definedName>
    <definedName name="PRODUITS">'08_CONTROLES'!$C$15</definedName>
    <definedName name="REMF">'08_CONTROLES'!$C$49</definedName>
    <definedName name="REMH">'08_CONTROLES'!$C$48</definedName>
    <definedName name="SCOPE1_RET">'08_CONTROLES'!$C$29</definedName>
    <definedName name="SCOPE2_RET">'08_CONTROLES'!$C$30</definedName>
    <definedName name="URL_TEST_MAJ">'09_PARAMETRES_SOURCES'!#REF!</definedName>
    <definedName name="ZONE_STATUT">'01_ACCUEIL'!$A$26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7" i="9" l="1"/>
  <c r="K34" i="9"/>
  <c r="J34" i="9"/>
  <c r="K33" i="9"/>
  <c r="J33" i="9"/>
  <c r="K32" i="9"/>
  <c r="J32" i="9"/>
  <c r="K31" i="9"/>
  <c r="J31" i="9"/>
  <c r="K30" i="9"/>
  <c r="J30" i="9"/>
  <c r="K29" i="9"/>
  <c r="J29" i="9"/>
  <c r="K28" i="9"/>
  <c r="J28" i="9"/>
  <c r="K27" i="9"/>
  <c r="C58" i="8"/>
  <c r="C51" i="8"/>
  <c r="C49" i="8"/>
  <c r="C48" i="8"/>
  <c r="C47" i="8"/>
  <c r="C46" i="8"/>
  <c r="C44" i="8"/>
  <c r="C43" i="8"/>
  <c r="C41" i="8"/>
  <c r="C40" i="8"/>
  <c r="C39" i="8"/>
  <c r="C38" i="8"/>
  <c r="C34" i="8"/>
  <c r="C33" i="8"/>
  <c r="C30" i="8"/>
  <c r="C29" i="8"/>
  <c r="C28" i="8"/>
  <c r="C20" i="8"/>
  <c r="C11" i="8"/>
  <c r="C9" i="8"/>
  <c r="C8" i="8"/>
  <c r="C7" i="8"/>
  <c r="C6" i="8"/>
  <c r="C5" i="8"/>
  <c r="T5" i="6"/>
  <c r="S5" i="6"/>
  <c r="R5" i="6"/>
  <c r="Q5" i="6"/>
  <c r="P5" i="6"/>
  <c r="O5" i="6"/>
  <c r="N5" i="6"/>
  <c r="M5" i="6"/>
  <c r="L5" i="6"/>
  <c r="K5" i="6"/>
  <c r="J5" i="6"/>
  <c r="H5" i="6"/>
  <c r="G5" i="6"/>
  <c r="D5" i="6"/>
  <c r="C5" i="6"/>
  <c r="F59" i="3"/>
  <c r="F58" i="3"/>
  <c r="F57" i="3"/>
  <c r="F48" i="3"/>
  <c r="F47" i="3"/>
  <c r="K45" i="3"/>
  <c r="J45" i="3"/>
  <c r="K37" i="3"/>
  <c r="J37" i="3"/>
  <c r="F37" i="3"/>
  <c r="F28" i="3"/>
  <c r="F27" i="3"/>
  <c r="F22" i="3"/>
  <c r="F17" i="3"/>
  <c r="C65" i="8" l="1"/>
  <c r="C23" i="8"/>
  <c r="C19" i="8"/>
  <c r="C15" i="8"/>
  <c r="C10" i="8"/>
  <c r="C64" i="8"/>
  <c r="C62" i="8"/>
  <c r="C61" i="8"/>
  <c r="C36" i="8"/>
  <c r="C22" i="8"/>
  <c r="C18" i="8"/>
  <c r="C14" i="8"/>
  <c r="C63" i="8"/>
  <c r="C37" i="8"/>
  <c r="C35" i="8"/>
  <c r="C25" i="8"/>
  <c r="C21" i="8"/>
  <c r="C17" i="8"/>
  <c r="C31" i="8"/>
  <c r="V5" i="6"/>
  <c r="W5" i="6" s="1"/>
  <c r="U5" i="6"/>
  <c r="F56" i="3"/>
  <c r="F49" i="3"/>
  <c r="F46" i="3"/>
  <c r="F45" i="3"/>
  <c r="F43" i="3"/>
  <c r="F42" i="3"/>
  <c r="F39" i="3"/>
  <c r="F34" i="3"/>
  <c r="F33" i="3"/>
  <c r="F26" i="3"/>
  <c r="F16" i="3"/>
  <c r="F15" i="3"/>
  <c r="A9" i="3"/>
  <c r="C57" i="8"/>
  <c r="C56" i="8"/>
  <c r="C52" i="8"/>
  <c r="F41" i="3" s="1"/>
  <c r="C50" i="8"/>
  <c r="F40" i="3" s="1"/>
  <c r="C45" i="8"/>
  <c r="C42" i="8"/>
  <c r="C16" i="8"/>
  <c r="F53" i="3" l="1"/>
  <c r="F55" i="3"/>
  <c r="C26" i="8"/>
  <c r="F54" i="3"/>
  <c r="J9" i="3"/>
  <c r="C24" i="8"/>
  <c r="C32" i="8" s="1"/>
  <c r="F35" i="3"/>
  <c r="F29" i="3"/>
  <c r="F44" i="3"/>
  <c r="A5" i="3"/>
  <c r="D5" i="3"/>
  <c r="F14" i="3"/>
  <c r="F18" i="3"/>
  <c r="F19" i="3"/>
  <c r="G9" i="3"/>
  <c r="F38" i="3"/>
  <c r="D9" i="3"/>
  <c r="F36" i="3"/>
  <c r="F25" i="3" l="1"/>
  <c r="J5" i="3"/>
  <c r="C27" i="8"/>
  <c r="F23" i="3" s="1"/>
  <c r="F24" i="3"/>
  <c r="G5" i="3"/>
  <c r="F20" i="3"/>
  <c r="F21" i="3"/>
</calcChain>
</file>

<file path=xl/sharedStrings.xml><?xml version="1.0" encoding="utf-8"?>
<sst xmlns="http://schemas.openxmlformats.org/spreadsheetml/2006/main" count="1544" uniqueCount="590">
  <si>
    <t>Dossier des fichiers</t>
  </si>
  <si>
    <t>C:\ESG\</t>
  </si>
  <si>
    <t>Nom du fichier FEC</t>
  </si>
  <si>
    <t>FEC.txt</t>
  </si>
  <si>
    <t>Extension des DSN</t>
  </si>
  <si>
    <t>.dsn</t>
  </si>
  <si>
    <t>Prêt. Renseignez les paramètres puis lancez l'import.</t>
  </si>
  <si>
    <t>Consommation totale d'énergie déclarée (MWh)</t>
  </si>
  <si>
    <t>dont part de combustibles (vs électricité)</t>
  </si>
  <si>
    <t>Part d'électricité d'origine renouvelable</t>
  </si>
  <si>
    <t>Émissions Scope 1 déclarées (tCO2e)</t>
  </si>
  <si>
    <t>Émissions Scope 2 déclarées (tCO2e)</t>
  </si>
  <si>
    <t>Consommation d'eau réelle (m³)</t>
  </si>
  <si>
    <t>Prélèvements d'eau (m³)</t>
  </si>
  <si>
    <t>Site(s) en zone de stress hydrique ?</t>
  </si>
  <si>
    <t>Non</t>
  </si>
  <si>
    <t>Rejets de polluants réglementés (air/eau/sol) ?</t>
  </si>
  <si>
    <t>Sites près de zones sensibles à la biodiversité (nb)</t>
  </si>
  <si>
    <t>Surface totale des locaux / terrains (m²)</t>
  </si>
  <si>
    <t>dont surface imperméabilisée (m²)</t>
  </si>
  <si>
    <t>Tonnage total de déchets (t)</t>
  </si>
  <si>
    <t>dont déchets dangereux (t)</t>
  </si>
  <si>
    <t>Part de déchets valorisés / recyclés</t>
  </si>
  <si>
    <t>Saisir en %.</t>
  </si>
  <si>
    <t>Secteur à flux de matières importants ?</t>
  </si>
  <si>
    <t>Carburant principal de la flotte</t>
  </si>
  <si>
    <t>Gazole</t>
  </si>
  <si>
    <t>Accidents du travail avec arrêt (nombre)</t>
  </si>
  <si>
    <t>Jours d'arrêt liés aux AT</t>
  </si>
  <si>
    <t>Décès liés à des AT / maladies professionnelles</t>
  </si>
  <si>
    <t>Jours d'absence totaux (hors congés payés)</t>
  </si>
  <si>
    <t>Heures de formation dispensées (total)</t>
  </si>
  <si>
    <t>Total sur l'exercice.</t>
  </si>
  <si>
    <t>dont heures de formation aux femmes</t>
  </si>
  <si>
    <t>dont heures de formation aux hommes</t>
  </si>
  <si>
    <t>Salariés formés (nombre)</t>
  </si>
  <si>
    <t>Femmes dans l'encadrement</t>
  </si>
  <si>
    <t>Départs sur l'exercice (nombre)</t>
  </si>
  <si>
    <t>Arrivées sur l'exercice (nombre)</t>
  </si>
  <si>
    <t>SMIC mensuel brut de référence (€)</t>
  </si>
  <si>
    <t>Référentiel de durabilité visé</t>
  </si>
  <si>
    <t>VSME</t>
  </si>
  <si>
    <t>Code de conduite / éthique formalisé ?</t>
  </si>
  <si>
    <t>Politique de durabilité formalisée ?</t>
  </si>
  <si>
    <t>Société à mission ?</t>
  </si>
  <si>
    <t>Part d'achats locaux / France</t>
  </si>
  <si>
    <t>Condamnations pour corruption (nombre)</t>
  </si>
  <si>
    <t>Montant des amendes anti-corruption (€)</t>
  </si>
  <si>
    <t>Objectif de réduction des émissions</t>
  </si>
  <si>
    <t>Objectif : femmes dans l'encadrement</t>
  </si>
  <si>
    <t>Objectif : heures de formation / salarié</t>
  </si>
  <si>
    <t>Émissions totales</t>
  </si>
  <si>
    <t>Intensité carbone</t>
  </si>
  <si>
    <t>Énergie consommée</t>
  </si>
  <si>
    <t>Eau consommée</t>
  </si>
  <si>
    <t>tCO2e (Scopes 1+2 +3 estimé)</t>
  </si>
  <si>
    <t>tCO2e / M€ de CA</t>
  </si>
  <si>
    <t>MWh</t>
  </si>
  <si>
    <t>m³</t>
  </si>
  <si>
    <t>Effectif moyen</t>
  </si>
  <si>
    <t>Féminisation</t>
  </si>
  <si>
    <t>Part de CDI</t>
  </si>
  <si>
    <t>Pilotage ESG</t>
  </si>
  <si>
    <t>salariés</t>
  </si>
  <si>
    <t>% de l'effectif</t>
  </si>
  <si>
    <t>% des contrats</t>
  </si>
  <si>
    <t>€ engagés</t>
  </si>
  <si>
    <t>Indicateur</t>
  </si>
  <si>
    <t>Valeur</t>
  </si>
  <si>
    <t>Unité</t>
  </si>
  <si>
    <t>Source</t>
  </si>
  <si>
    <t>Objectif</t>
  </si>
  <si>
    <t>Écart</t>
  </si>
  <si>
    <t>Émissions totales (Scopes 1-2-3)</t>
  </si>
  <si>
    <t>tCO2e</t>
  </si>
  <si>
    <t>FEC/Saisie</t>
  </si>
  <si>
    <t>dont Scope 1 — combustion directe</t>
  </si>
  <si>
    <t>dont Scope 2 — énergie achetée</t>
  </si>
  <si>
    <t>dont Scope 3 — amont / aval (estimé)</t>
  </si>
  <si>
    <t>FEC</t>
  </si>
  <si>
    <t>Intensité carbone / chiffre d'affaires</t>
  </si>
  <si>
    <t>tCO2e/M€</t>
  </si>
  <si>
    <t>Auto</t>
  </si>
  <si>
    <t>Intensité carbone / ETP</t>
  </si>
  <si>
    <t>tCO2e/ETP</t>
  </si>
  <si>
    <t>Intensité énergétique / CA</t>
  </si>
  <si>
    <t>MWh/M€</t>
  </si>
  <si>
    <t>Part d'électricité renouvelable</t>
  </si>
  <si>
    <t>%</t>
  </si>
  <si>
    <t>Saisie</t>
  </si>
  <si>
    <t>Prélèvements d'eau</t>
  </si>
  <si>
    <t>Saisie/FEC</t>
  </si>
  <si>
    <t>Intensité eau / CA</t>
  </si>
  <si>
    <t>m³/M€</t>
  </si>
  <si>
    <t>Déchets produits</t>
  </si>
  <si>
    <t>t</t>
  </si>
  <si>
    <t>dont déchets dangereux</t>
  </si>
  <si>
    <t>Taux de valorisation des déchets</t>
  </si>
  <si>
    <t>Intensité déchets / CA</t>
  </si>
  <si>
    <t>kg/M€</t>
  </si>
  <si>
    <t>DSN</t>
  </si>
  <si>
    <t>Équivalents temps plein (ETP)</t>
  </si>
  <si>
    <t>ETP</t>
  </si>
  <si>
    <t>Intensité d'emploi / CA</t>
  </si>
  <si>
    <t>ETP/M€</t>
  </si>
  <si>
    <t>Taux de féminisation</t>
  </si>
  <si>
    <t>Part de contrats CDI</t>
  </si>
  <si>
    <t>Salariés couverts par une convention collective</t>
  </si>
  <si>
    <t>Écart de rémunération femmes / hommes</t>
  </si>
  <si>
    <t>Salariés rémunérés au-dessus du SMIC</t>
  </si>
  <si>
    <t>Âge moyen</t>
  </si>
  <si>
    <t>ans</t>
  </si>
  <si>
    <t>Masse salariale brute</t>
  </si>
  <si>
    <t>€</t>
  </si>
  <si>
    <t>Poids de la masse salariale / CA</t>
  </si>
  <si>
    <t>Effort de formation</t>
  </si>
  <si>
    <t>h/sal</t>
  </si>
  <si>
    <t>Taux d'absentéisme</t>
  </si>
  <si>
    <t>Accidents du travail avec arrêt</t>
  </si>
  <si>
    <t>nb</t>
  </si>
  <si>
    <t>Décès AT / maladies professionnelles</t>
  </si>
  <si>
    <t>Taux de rotation (turnover)</t>
  </si>
  <si>
    <t>Dépenses de pilotage ESG</t>
  </si>
  <si>
    <t>Dons &amp; mécénat</t>
  </si>
  <si>
    <t>Contribution fiscale (impôts &amp; taxes)</t>
  </si>
  <si>
    <t>Charges sociales (cotisations)</t>
  </si>
  <si>
    <t>Condamnations pour corruption</t>
  </si>
  <si>
    <t>Amendes anti-corruption</t>
  </si>
  <si>
    <t>VISUALISATIONS</t>
  </si>
  <si>
    <t>JournalCode</t>
  </si>
  <si>
    <t>JournalLib</t>
  </si>
  <si>
    <t>EcritureNum</t>
  </si>
  <si>
    <t>EcritureDate</t>
  </si>
  <si>
    <t>CompteNum</t>
  </si>
  <si>
    <t>CompteLib</t>
  </si>
  <si>
    <t>CompAuxNum</t>
  </si>
  <si>
    <t>CompAuxLib</t>
  </si>
  <si>
    <t>PieceRef</t>
  </si>
  <si>
    <t>PieceDate</t>
  </si>
  <si>
    <t>EcritureLib</t>
  </si>
  <si>
    <t>Debit</t>
  </si>
  <si>
    <t>Credit</t>
  </si>
  <si>
    <t>EcritureLet</t>
  </si>
  <si>
    <t>DateLet</t>
  </si>
  <si>
    <t>ValidDate</t>
  </si>
  <si>
    <t>Montantdevise</t>
  </si>
  <si>
    <t>Idevise</t>
  </si>
  <si>
    <t>Mois</t>
  </si>
  <si>
    <t>Fichier</t>
  </si>
  <si>
    <t>Rubrique</t>
  </si>
  <si>
    <t>Libellé</t>
  </si>
  <si>
    <t>Compte</t>
  </si>
  <si>
    <t>Libellé du compte</t>
  </si>
  <si>
    <t>Cl.</t>
  </si>
  <si>
    <t>Préf2</t>
  </si>
  <si>
    <t>Débit</t>
  </si>
  <si>
    <t>Crédit</t>
  </si>
  <si>
    <t>Solde</t>
  </si>
  <si>
    <t>Montant</t>
  </si>
  <si>
    <t>Préfixe mappé</t>
  </si>
  <si>
    <t>Pilier</t>
  </si>
  <si>
    <t>Thème</t>
  </si>
  <si>
    <t>ESRS</t>
  </si>
  <si>
    <t>Scope</t>
  </si>
  <si>
    <t>Méthode</t>
  </si>
  <si>
    <t>Type</t>
  </si>
  <si>
    <t>Fact. €→u</t>
  </si>
  <si>
    <t>FE phys.</t>
  </si>
  <si>
    <t>FE mon.</t>
  </si>
  <si>
    <t>Quantité</t>
  </si>
  <si>
    <t>Émissions kg</t>
  </si>
  <si>
    <t>Effectif</t>
  </si>
  <si>
    <t>Hommes</t>
  </si>
  <si>
    <t>Femmes</t>
  </si>
  <si>
    <t>CDI</t>
  </si>
  <si>
    <t>CDD</t>
  </si>
  <si>
    <t>Nb lignes DSN</t>
  </si>
  <si>
    <t>% conv. collective</t>
  </si>
  <si>
    <t>Rém. moy. H (€)</t>
  </si>
  <si>
    <t>Rém. moy. F (€)</t>
  </si>
  <si>
    <t>Salariés ≥ SMIC</t>
  </si>
  <si>
    <t>1 · Contrôles de cohérence de l'import</t>
  </si>
  <si>
    <t>Lignes comptables importées (FEC)</t>
  </si>
  <si>
    <t>Total des débits</t>
  </si>
  <si>
    <t>Total des crédits</t>
  </si>
  <si>
    <t>Écart débit / crédit (doit être ≈ 0)</t>
  </si>
  <si>
    <t>Comptes sans correspondance ESG</t>
  </si>
  <si>
    <t>Montant non rattaché (à vérifier en feuille 10)</t>
  </si>
  <si>
    <t>Mois de DSN détectés</t>
  </si>
  <si>
    <t>2 · Agrégats (cellules nommées utilisées par le tableau de bord)</t>
  </si>
  <si>
    <t>Chiffre d'affaires (produits classe 70)</t>
  </si>
  <si>
    <t>Produits d'exploitation (classe 7)</t>
  </si>
  <si>
    <t>Charges d'exploitation (classe 6)</t>
  </si>
  <si>
    <t>Émissions Scope 1 (tCO2e)</t>
  </si>
  <si>
    <t>Émissions Scope 2 (tCO2e)</t>
  </si>
  <si>
    <t>Émissions Scope 3 (tCO2e)</t>
  </si>
  <si>
    <t>Émissions totales (tCO2e)</t>
  </si>
  <si>
    <t>Électricité (kWh)</t>
  </si>
  <si>
    <t>Gaz / chauffage (kWh)</t>
  </si>
  <si>
    <t>Réseau chaleur (kWh)</t>
  </si>
  <si>
    <t>Énergie totale (kWh)</t>
  </si>
  <si>
    <t>Eau estimée via FEC (m³)</t>
  </si>
  <si>
    <t>Eau retenue (m³)</t>
  </si>
  <si>
    <t>Prélèvements d'eau retenus (m³)</t>
  </si>
  <si>
    <t>Déchets (t)</t>
  </si>
  <si>
    <t>Scope 1 retenu (déclaré sinon estimé)</t>
  </si>
  <si>
    <t>Scope 2 retenu (déclaré sinon estimé)</t>
  </si>
  <si>
    <t>Émissions retenues (tCO2e)</t>
  </si>
  <si>
    <t>Énergie retenue (MWh)</t>
  </si>
  <si>
    <t>Masse salariale brute (641)</t>
  </si>
  <si>
    <t>Charges sociales (645)</t>
  </si>
  <si>
    <t>Contribution fiscale (impôts/taxes)</t>
  </si>
  <si>
    <t>ETP moyen</t>
  </si>
  <si>
    <t>Hommes (moyenne)</t>
  </si>
  <si>
    <t>Femmes (moyenne)</t>
  </si>
  <si>
    <t>CDI (moyenne)</t>
  </si>
  <si>
    <t>CDD (moyenne)</t>
  </si>
  <si>
    <t>Couverture conventionnelle</t>
  </si>
  <si>
    <t>Rémunération moyenne hommes (€)</t>
  </si>
  <si>
    <t>Rémunération moyenne femmes (€)</t>
  </si>
  <si>
    <t>Écart de rémunération F/H</t>
  </si>
  <si>
    <t>Salariés ≥ SMIC (moyenne)</t>
  </si>
  <si>
    <t>Part de salariés ≥ SMIC</t>
  </si>
  <si>
    <t>3 · Données des graphiques</t>
  </si>
  <si>
    <t>Répartition</t>
  </si>
  <si>
    <t>Scope 1</t>
  </si>
  <si>
    <t>Scope 2</t>
  </si>
  <si>
    <t>Scope 3</t>
  </si>
  <si>
    <t>Thème (environnement)</t>
  </si>
  <si>
    <t>Énergie</t>
  </si>
  <si>
    <t>Mobilité</t>
  </si>
  <si>
    <t>Numérique</t>
  </si>
  <si>
    <t>Achats</t>
  </si>
  <si>
    <t>Déchets</t>
  </si>
  <si>
    <t>Clé</t>
  </si>
  <si>
    <t>Date MAJ</t>
  </si>
  <si>
    <t>PRIX_ELEC</t>
  </si>
  <si>
    <t>Prix électricité</t>
  </si>
  <si>
    <t>€/kWh</t>
  </si>
  <si>
    <t>VARIABLE</t>
  </si>
  <si>
    <t>Tarif moyen pro France (indicatif)</t>
  </si>
  <si>
    <t>2026</t>
  </si>
  <si>
    <t>PRIX_GAZ</t>
  </si>
  <si>
    <t>Prix gaz naturel</t>
  </si>
  <si>
    <t>PRIX_CHALEUR</t>
  </si>
  <si>
    <t>Prix réseau chaleur/froid</t>
  </si>
  <si>
    <t>Tarif moyen réseaux (indicatif)</t>
  </si>
  <si>
    <t>PRIX_EAU</t>
  </si>
  <si>
    <t>Prix de l'eau</t>
  </si>
  <si>
    <t>€/m³</t>
  </si>
  <si>
    <t>Prix moyen eau France (indicatif)</t>
  </si>
  <si>
    <t>PRIX_GAZOLE</t>
  </si>
  <si>
    <t>Prix gazole (diesel)</t>
  </si>
  <si>
    <t>€/L</t>
  </si>
  <si>
    <t>Prix moyen à la pompe (indicatif)</t>
  </si>
  <si>
    <t>PRIX_SP95</t>
  </si>
  <si>
    <t>Prix essence SP95-E10</t>
  </si>
  <si>
    <t>PRIX_GNR</t>
  </si>
  <si>
    <t>Prix GNR / fioul</t>
  </si>
  <si>
    <t>Prix moyen (indicatif)</t>
  </si>
  <si>
    <t>Date</t>
  </si>
  <si>
    <t>FE_ELEC</t>
  </si>
  <si>
    <t>kgCO2e/kWh</t>
  </si>
  <si>
    <t>ADEME - mix élec FR (indicatif)</t>
  </si>
  <si>
    <t>FE_GAZ</t>
  </si>
  <si>
    <t>FIXE</t>
  </si>
  <si>
    <t>ADEME - gaz naturel combustion (indicatif)</t>
  </si>
  <si>
    <t>FE_CHALEUR</t>
  </si>
  <si>
    <t>ADEME - réseau chaleur moy. (indicatif)</t>
  </si>
  <si>
    <t>FE_EAU</t>
  </si>
  <si>
    <t>kgCO2e/m³</t>
  </si>
  <si>
    <t>ADEME - eau potable (indicatif)</t>
  </si>
  <si>
    <t>FE_GAZOLE</t>
  </si>
  <si>
    <t>kgCO2e/L</t>
  </si>
  <si>
    <t>ADEME - gazole amont+combustion (indicatif)</t>
  </si>
  <si>
    <t>FE_SP95</t>
  </si>
  <si>
    <t>ADEME - essence amont+combustion (indicatif)</t>
  </si>
  <si>
    <t>FE_GNR</t>
  </si>
  <si>
    <t>ADEME - GNR/fioul (indicatif)</t>
  </si>
  <si>
    <t>Préfixe</t>
  </si>
  <si>
    <t>Type fact.</t>
  </si>
  <si>
    <t>FE physique
(kgCO2e/u)</t>
  </si>
  <si>
    <t>FE monétaire
(kgCO2e/€)</t>
  </si>
  <si>
    <t>Commentaire</t>
  </si>
  <si>
    <t>606110</t>
  </si>
  <si>
    <t>Électricité</t>
  </si>
  <si>
    <t>Environnement</t>
  </si>
  <si>
    <t>E1</t>
  </si>
  <si>
    <t>kWh</t>
  </si>
  <si>
    <t>PHYSIQUE</t>
  </si>
  <si>
    <t>Compteur / facture</t>
  </si>
  <si>
    <t>606120</t>
  </si>
  <si>
    <t>Gaz / chauffage</t>
  </si>
  <si>
    <t>606140</t>
  </si>
  <si>
    <t>Réseau chaleur / froid</t>
  </si>
  <si>
    <t>Facture réseau</t>
  </si>
  <si>
    <t>606130</t>
  </si>
  <si>
    <t>Eau</t>
  </si>
  <si>
    <t>E3</t>
  </si>
  <si>
    <t>—</t>
  </si>
  <si>
    <t>60221</t>
  </si>
  <si>
    <t>Carburant gazole</t>
  </si>
  <si>
    <t>L</t>
  </si>
  <si>
    <t>Facture station</t>
  </si>
  <si>
    <t>60222</t>
  </si>
  <si>
    <t>Carburant essence</t>
  </si>
  <si>
    <t>6022</t>
  </si>
  <si>
    <t>Carburants</t>
  </si>
  <si>
    <t>6068</t>
  </si>
  <si>
    <t>Autres combustibles</t>
  </si>
  <si>
    <t>Facture</t>
  </si>
  <si>
    <t>613510</t>
  </si>
  <si>
    <t>Location mobilité douce</t>
  </si>
  <si>
    <t>MONETAIRE</t>
  </si>
  <si>
    <t>ADEME Base Empreinte (ratio indicatif)</t>
  </si>
  <si>
    <t>613520</t>
  </si>
  <si>
    <t>Location véhicules élec.</t>
  </si>
  <si>
    <t>624400</t>
  </si>
  <si>
    <t>Transports administratifs</t>
  </si>
  <si>
    <t>624700</t>
  </si>
  <si>
    <t>Transport du personnel</t>
  </si>
  <si>
    <t>625110</t>
  </si>
  <si>
    <t>Déplacements train</t>
  </si>
  <si>
    <t>625120</t>
  </si>
  <si>
    <t>Transports urbains</t>
  </si>
  <si>
    <t>625130</t>
  </si>
  <si>
    <t>Taxis / VTC</t>
  </si>
  <si>
    <t>625140</t>
  </si>
  <si>
    <t>Déplacements avion</t>
  </si>
  <si>
    <t>625150</t>
  </si>
  <si>
    <t>Hébergement missions</t>
  </si>
  <si>
    <t>625160</t>
  </si>
  <si>
    <t>Repas en déplacement</t>
  </si>
  <si>
    <t>625170</t>
  </si>
  <si>
    <t>Indemnités kilométriques</t>
  </si>
  <si>
    <t>625</t>
  </si>
  <si>
    <t>Déplacements (autres)</t>
  </si>
  <si>
    <t>624</t>
  </si>
  <si>
    <t>Transports (autres)</t>
  </si>
  <si>
    <t>626100</t>
  </si>
  <si>
    <t>Internet / télécom fixe</t>
  </si>
  <si>
    <t>626200</t>
  </si>
  <si>
    <t>Téléphonie mobile</t>
  </si>
  <si>
    <t>628110</t>
  </si>
  <si>
    <t>Cloud / SaaS</t>
  </si>
  <si>
    <t>628120</t>
  </si>
  <si>
    <t>Stockage / sauvegarde</t>
  </si>
  <si>
    <t>628130</t>
  </si>
  <si>
    <t>Cybersécurité</t>
  </si>
  <si>
    <t>628500</t>
  </si>
  <si>
    <t>Outils collaboratifs</t>
  </si>
  <si>
    <t>606300</t>
  </si>
  <si>
    <t>Matériel informatique</t>
  </si>
  <si>
    <t>606310</t>
  </si>
  <si>
    <t>Consommables info.</t>
  </si>
  <si>
    <t>651100</t>
  </si>
  <si>
    <t>Licences logicielles</t>
  </si>
  <si>
    <t>606210</t>
  </si>
  <si>
    <t>Fournitures entretien</t>
  </si>
  <si>
    <t>E5</t>
  </si>
  <si>
    <t>606220</t>
  </si>
  <si>
    <t>Produits hygiène/sécurité</t>
  </si>
  <si>
    <t>606400</t>
  </si>
  <si>
    <t>Fournitures administratives</t>
  </si>
  <si>
    <t>606410</t>
  </si>
  <si>
    <t>Papier</t>
  </si>
  <si>
    <t>606420</t>
  </si>
  <si>
    <t>Fournitures responsables</t>
  </si>
  <si>
    <t>604100</t>
  </si>
  <si>
    <t>Sous-traitance / études</t>
  </si>
  <si>
    <t>611</t>
  </si>
  <si>
    <t>Sous-traitance générale</t>
  </si>
  <si>
    <t>628800</t>
  </si>
  <si>
    <t>Déchets non dangereux</t>
  </si>
  <si>
    <t>628810</t>
  </si>
  <si>
    <t>Recyclage papier/carton</t>
  </si>
  <si>
    <t>628820</t>
  </si>
  <si>
    <t>Recyclage DEEE</t>
  </si>
  <si>
    <t>628830</t>
  </si>
  <si>
    <t>Destruction documents</t>
  </si>
  <si>
    <t>628840</t>
  </si>
  <si>
    <t>Biodéchets / compost</t>
  </si>
  <si>
    <t>613200</t>
  </si>
  <si>
    <t>Locations immobilières</t>
  </si>
  <si>
    <t>Économique</t>
  </si>
  <si>
    <t>Immobilier</t>
  </si>
  <si>
    <t>Bail</t>
  </si>
  <si>
    <t>613500</t>
  </si>
  <si>
    <t>Locations diverses</t>
  </si>
  <si>
    <t>614000</t>
  </si>
  <si>
    <t>Charges locatives</t>
  </si>
  <si>
    <t>615200</t>
  </si>
  <si>
    <t>Entretien des locaux</t>
  </si>
  <si>
    <t>615500</t>
  </si>
  <si>
    <t>Entretien mobilier</t>
  </si>
  <si>
    <t>615600</t>
  </si>
  <si>
    <t>Maintenance informatique</t>
  </si>
  <si>
    <t>615700</t>
  </si>
  <si>
    <t>Maintenance énergie</t>
  </si>
  <si>
    <t>628200</t>
  </si>
  <si>
    <t>Nettoyage des locaux</t>
  </si>
  <si>
    <t>641100</t>
  </si>
  <si>
    <t>Salaires &amp; appointements</t>
  </si>
  <si>
    <t>Social</t>
  </si>
  <si>
    <t>Emploi</t>
  </si>
  <si>
    <t>S1</t>
  </si>
  <si>
    <t>FEC 641</t>
  </si>
  <si>
    <t>641200</t>
  </si>
  <si>
    <t>Congés payés</t>
  </si>
  <si>
    <t>641300</t>
  </si>
  <si>
    <t>Primes &amp; gratifications</t>
  </si>
  <si>
    <t>Rémunération</t>
  </si>
  <si>
    <t>641</t>
  </si>
  <si>
    <t>Rémunérations (autres)</t>
  </si>
  <si>
    <t>645</t>
  </si>
  <si>
    <t>Charges sociales</t>
  </si>
  <si>
    <t>Protection sociale</t>
  </si>
  <si>
    <t>FEC 645</t>
  </si>
  <si>
    <t>647100</t>
  </si>
  <si>
    <t>Titres restaurant</t>
  </si>
  <si>
    <t>Avantages</t>
  </si>
  <si>
    <t>FEC 647</t>
  </si>
  <si>
    <t>647200</t>
  </si>
  <si>
    <t>Forfait mobilités durables</t>
  </si>
  <si>
    <t>647300</t>
  </si>
  <si>
    <t>Médecine du travail</t>
  </si>
  <si>
    <t>Santé/sécurité</t>
  </si>
  <si>
    <t>647400</t>
  </si>
  <si>
    <t>Actions QVCT / prévention</t>
  </si>
  <si>
    <t>647500</t>
  </si>
  <si>
    <t>Versements au CSE</t>
  </si>
  <si>
    <t>Dialogue social</t>
  </si>
  <si>
    <t>647</t>
  </si>
  <si>
    <t>Autres avantages personnel</t>
  </si>
  <si>
    <t>648</t>
  </si>
  <si>
    <t>Autres charges de personnel</t>
  </si>
  <si>
    <t>FEC 648</t>
  </si>
  <si>
    <t>633100</t>
  </si>
  <si>
    <t>Versement mobilité</t>
  </si>
  <si>
    <t>Fiscalité RH</t>
  </si>
  <si>
    <t>FEC 633</t>
  </si>
  <si>
    <t>633300</t>
  </si>
  <si>
    <t>Contribution formation</t>
  </si>
  <si>
    <t>Formation</t>
  </si>
  <si>
    <t>633500</t>
  </si>
  <si>
    <t>Taxe apprentissage</t>
  </si>
  <si>
    <t>622650</t>
  </si>
  <si>
    <t>Conseil RH / diversité</t>
  </si>
  <si>
    <t>Diversité</t>
  </si>
  <si>
    <t>FEC 622</t>
  </si>
  <si>
    <t>628400</t>
  </si>
  <si>
    <t>Frais de recrutement</t>
  </si>
  <si>
    <t>FEC 628</t>
  </si>
  <si>
    <t>622610</t>
  </si>
  <si>
    <t>Honoraires comptables</t>
  </si>
  <si>
    <t>Gouvernance</t>
  </si>
  <si>
    <t>Conformité</t>
  </si>
  <si>
    <t>G1</t>
  </si>
  <si>
    <t>622620</t>
  </si>
  <si>
    <t>Honoraires juridiques</t>
  </si>
  <si>
    <t>622630</t>
  </si>
  <si>
    <t>Conseil climat / ESG</t>
  </si>
  <si>
    <t>622500</t>
  </si>
  <si>
    <t>Affacturage</t>
  </si>
  <si>
    <t>Finance</t>
  </si>
  <si>
    <t>622</t>
  </si>
  <si>
    <t>Honoraires (autres)</t>
  </si>
  <si>
    <t>616100</t>
  </si>
  <si>
    <t>Assurance multirisque</t>
  </si>
  <si>
    <t>Risques</t>
  </si>
  <si>
    <t>FEC 616</t>
  </si>
  <si>
    <t>616300</t>
  </si>
  <si>
    <t>Assurance transport</t>
  </si>
  <si>
    <t>616400</t>
  </si>
  <si>
    <t>Assurance cyber/exploit.</t>
  </si>
  <si>
    <t>616</t>
  </si>
  <si>
    <t>Assurances (autres)</t>
  </si>
  <si>
    <t>628300</t>
  </si>
  <si>
    <t>Certification / label</t>
  </si>
  <si>
    <t>623400</t>
  </si>
  <si>
    <t>Cadeaux clientèle</t>
  </si>
  <si>
    <t>Éthique</t>
  </si>
  <si>
    <t>FEC 623</t>
  </si>
  <si>
    <t>623800</t>
  </si>
  <si>
    <t>Dons / mécénat</t>
  </si>
  <si>
    <t>Communauté</t>
  </si>
  <si>
    <t>623100</t>
  </si>
  <si>
    <t>Communication / marketing</t>
  </si>
  <si>
    <t>623300</t>
  </si>
  <si>
    <t>Salons / événements</t>
  </si>
  <si>
    <t>623600</t>
  </si>
  <si>
    <t>Catalogues imprimés</t>
  </si>
  <si>
    <t>623700</t>
  </si>
  <si>
    <t>Contenus numériques</t>
  </si>
  <si>
    <t>617000</t>
  </si>
  <si>
    <t>Études et recherches</t>
  </si>
  <si>
    <t>Innovation</t>
  </si>
  <si>
    <t>FEC 617</t>
  </si>
  <si>
    <t>617100</t>
  </si>
  <si>
    <t>Études innovation durable</t>
  </si>
  <si>
    <t>618500</t>
  </si>
  <si>
    <t>Colloques / conférences</t>
  </si>
  <si>
    <t>627800</t>
  </si>
  <si>
    <t>Frais bancaires</t>
  </si>
  <si>
    <t>FEC 627</t>
  </si>
  <si>
    <t>681510</t>
  </si>
  <si>
    <t>Provisions litiges</t>
  </si>
  <si>
    <t>FEC 681</t>
  </si>
  <si>
    <t>681520</t>
  </si>
  <si>
    <t>Provisions risques ESG</t>
  </si>
  <si>
    <t>681530</t>
  </si>
  <si>
    <t>Provisions cyber/données</t>
  </si>
  <si>
    <t>681740</t>
  </si>
  <si>
    <t>Dépréciation créances</t>
  </si>
  <si>
    <t>681120</t>
  </si>
  <si>
    <t>Amortissements corporels</t>
  </si>
  <si>
    <t>681150</t>
  </si>
  <si>
    <t>Amortissements incorporels</t>
  </si>
  <si>
    <t>635110</t>
  </si>
  <si>
    <t>Contribution éco. territoriale</t>
  </si>
  <si>
    <t>Fiscalité</t>
  </si>
  <si>
    <t>FEC 635</t>
  </si>
  <si>
    <t>635120</t>
  </si>
  <si>
    <t>Taxes foncières</t>
  </si>
  <si>
    <t>635</t>
  </si>
  <si>
    <t>Autres impôts locaux</t>
  </si>
  <si>
    <t>661</t>
  </si>
  <si>
    <t>Charges financières</t>
  </si>
  <si>
    <t>FEC 66</t>
  </si>
  <si>
    <t>695</t>
  </si>
  <si>
    <t>Impôt sur les bénéfices</t>
  </si>
  <si>
    <t>FEC 695</t>
  </si>
  <si>
    <t>706</t>
  </si>
  <si>
    <t>Chiffre d'affaires</t>
  </si>
  <si>
    <t>Activité</t>
  </si>
  <si>
    <t>FEC 70</t>
  </si>
  <si>
    <t>708</t>
  </si>
  <si>
    <t>Produits annexes</t>
  </si>
  <si>
    <t>70</t>
  </si>
  <si>
    <t>Ventes / prestations</t>
  </si>
  <si>
    <t>606</t>
  </si>
  <si>
    <t>Achats / énergie (repli)</t>
  </si>
  <si>
    <t>60</t>
  </si>
  <si>
    <t>Achats (repli)</t>
  </si>
  <si>
    <t>62</t>
  </si>
  <si>
    <t>Services externes (repli)</t>
  </si>
  <si>
    <t>63</t>
  </si>
  <si>
    <t>Impôts &amp; taxes (repli)</t>
  </si>
  <si>
    <t>FEC 63</t>
  </si>
  <si>
    <t>64</t>
  </si>
  <si>
    <t>Personnel (repli)</t>
  </si>
  <si>
    <t>FEC 64</t>
  </si>
  <si>
    <t>(non mappé)</t>
  </si>
  <si>
    <t>Non mappé</t>
  </si>
  <si>
    <t>À classer</t>
  </si>
  <si>
    <t>-</t>
  </si>
  <si>
    <t>Compte sans correspondance</t>
  </si>
  <si>
    <t>ENVIRONNEMENT</t>
  </si>
  <si>
    <t>SOCIAL</t>
  </si>
  <si>
    <t>GOUVERNANCE</t>
  </si>
  <si>
    <t>1- Importer le FEC</t>
  </si>
  <si>
    <t>2- Importer les DSN</t>
  </si>
  <si>
    <t>3- Générer la balance ESG + synthèse sociale</t>
  </si>
  <si>
    <t>4- Actualiser le tableau de bord</t>
  </si>
  <si>
    <t>6- Réinitialiser l'outil</t>
  </si>
  <si>
    <t>1 - Paramètres d'import</t>
  </si>
  <si>
    <t>3 - Statut</t>
  </si>
  <si>
    <t>2 - Étapes (cliquez dans l'ordre)</t>
  </si>
  <si>
    <t>NB: après votre import de la macro,cliquez sur installer les boutons pour que les boutons apparaissent.</t>
  </si>
  <si>
    <t>NB : laissez 0 quand vous ne savez pas quoi remplir, lorsque vous laissez 0, la donnée du tableau de bord est éstimée à la base du FEC et de la DSN</t>
  </si>
  <si>
    <t>Indicateur VSME</t>
  </si>
  <si>
    <t>À actualiser chaque année.</t>
  </si>
  <si>
    <t>02 - DONNÉES À COMPLÉTER</t>
  </si>
  <si>
    <t>GOUVERNANCE ET ÉTHIQUE</t>
  </si>
  <si>
    <t>OBJECTIFS  (facultatif)</t>
  </si>
  <si>
    <t>01 - ACCUEIL</t>
  </si>
  <si>
    <t>5- Actualiser les tarifs</t>
  </si>
  <si>
    <t>NB :Cette feuille est remplie automatiquement par le bouton « Importer le FEC ».</t>
  </si>
  <si>
    <t>Cette feuille est remplie automatiquement par le bouton « Importer les DSN ».</t>
  </si>
  <si>
    <t>04 - FEC</t>
  </si>
  <si>
    <t>03 - TABLEAU DE BORD DE DURABILITÉ</t>
  </si>
  <si>
    <t>05 - DSN</t>
  </si>
  <si>
    <t>06 - BALANCE ESG</t>
  </si>
  <si>
    <t>07 - SYNTHÈSE SOCIALE</t>
  </si>
  <si>
    <t>08 - CONTRÔLES ET AGRÉGATS</t>
  </si>
  <si>
    <t>09 - PARAMÈTRES &amp; SOURCES</t>
  </si>
  <si>
    <t>Facteur € à unité</t>
  </si>
  <si>
    <t>1 - Tarifs de conversion de l'euro à l'untité physique</t>
  </si>
  <si>
    <t>2 - FACTEURS D'ÉMISSION PHYSIQUES</t>
  </si>
  <si>
    <t>3 - CORRESPONDANCE  COMPTE / INDICATEUR DE DURABILITÉ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</si>
</sst>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#,##0.000"/>
    <numFmt numFmtId="165" formatCode="#,##0.0000"/>
    <numFmt numFmtId="166" formatCode="#,##0.00\ \€"/>
    <numFmt numFmtId="167" formatCode="#,##0.0"/>
    <numFmt numFmtId="168" formatCode="0.0%"/>
    <numFmt numFmtId="169" formatCode="#,##0\ &quot;m3&quot;"/>
    <numFmt numFmtId="170" formatCode="#,##0.0\ &quot;t&quot;"/>
    <numFmt numFmtId="171" formatCode="#,##0\ \€"/>
    <numFmt numFmtId="172" formatCode="#,##0.0\ &quot;tCO2e&quot;"/>
    <numFmt numFmtId="173" formatCode="#,##0\ &quot;kWh&quot;"/>
    <numFmt numFmtId="174" formatCode="#,##0.0\ &quot;MWh&quot;"/>
    <numFmt numFmtId="175" formatCode="#,##0.0\ &quot;ans&quot;"/>
  </numFmts>
  <fonts count="49">
    <font>
      <sz val="11"/>
      <name val="Carlito"/>
    </font>
    <font>
      <i/>
      <sz val="9.5"/>
      <color rgb="FFFFFFFF"/>
      <name val="Calibri"/>
    </font>
    <font>
      <b/>
      <sz val="12"/>
      <color rgb="FFFFFFFF"/>
      <name val="Calibri"/>
    </font>
    <font>
      <b/>
      <sz val="10"/>
      <color rgb="FFFFFFFF"/>
      <name val="Calibri"/>
    </font>
    <font>
      <b/>
      <sz val="10"/>
      <color rgb="FF5B6770"/>
      <name val="Calibri"/>
    </font>
    <font>
      <sz val="10"/>
      <color rgb="FF1C2B2B"/>
      <name val="Calibri"/>
    </font>
    <font>
      <b/>
      <sz val="10"/>
      <color rgb="FF0000CC"/>
      <name val="Calibri"/>
    </font>
    <font>
      <sz val="9"/>
      <color rgb="FF5B6770"/>
      <name val="Calibri"/>
    </font>
    <font>
      <sz val="9"/>
      <color rgb="FF1C2B2B"/>
      <name val="Calibri"/>
    </font>
    <font>
      <i/>
      <sz val="9"/>
      <color rgb="FF5B6770"/>
      <name val="Calibri"/>
    </font>
    <font>
      <b/>
      <sz val="9.5"/>
      <color rgb="FFFFFFFF"/>
      <name val="Calibri"/>
    </font>
    <font>
      <b/>
      <sz val="9"/>
      <color rgb="FF2E7D32"/>
      <name val="Calibri"/>
    </font>
    <font>
      <sz val="9"/>
      <color rgb="FF006100"/>
      <name val="Calibri"/>
    </font>
    <font>
      <sz val="8"/>
      <color rgb="FF5B6770"/>
      <name val="Calibri"/>
    </font>
    <font>
      <i/>
      <sz val="8"/>
      <color rgb="FF5B6770"/>
      <name val="Calibri"/>
    </font>
    <font>
      <b/>
      <sz val="9"/>
      <color rgb="FF5B6770"/>
      <name val="Calibri"/>
    </font>
    <font>
      <b/>
      <sz val="9"/>
      <color rgb="FF1565C0"/>
      <name val="Calibri"/>
    </font>
    <font>
      <b/>
      <sz val="9"/>
      <color rgb="FF6A4FB3"/>
      <name val="Calibri"/>
    </font>
    <font>
      <b/>
      <sz val="9"/>
      <color rgb="FFFFFFFF"/>
      <name val="Calibri"/>
    </font>
    <font>
      <sz val="9"/>
      <color rgb="FF0B6E3B"/>
      <name val="Calibri"/>
    </font>
    <font>
      <sz val="10.5"/>
      <color rgb="FF1C2B2B"/>
      <name val="Calibri"/>
    </font>
    <font>
      <i/>
      <sz val="8.5"/>
      <color rgb="FF5B6770"/>
      <name val="Calibri"/>
    </font>
    <font>
      <b/>
      <sz val="20"/>
      <color rgb="FF2E7D32"/>
      <name val="Calibri"/>
    </font>
    <font>
      <b/>
      <sz val="20"/>
      <color rgb="FF1565C0"/>
      <name val="Calibri"/>
    </font>
    <font>
      <b/>
      <sz val="20"/>
      <color rgb="FF6A4FB3"/>
      <name val="Calibri"/>
    </font>
    <font>
      <b/>
      <sz val="10"/>
      <color rgb="FF2E7D32"/>
      <name val="Calibri"/>
    </font>
    <font>
      <sz val="8.5"/>
      <color rgb="FF5B6770"/>
      <name val="Calibri"/>
    </font>
    <font>
      <b/>
      <sz val="10"/>
      <color rgb="FF1565C0"/>
      <name val="Calibri"/>
    </font>
    <font>
      <b/>
      <sz val="10"/>
      <color rgb="FF6A4FB3"/>
      <name val="Calibri"/>
    </font>
    <font>
      <b/>
      <sz val="16"/>
      <color rgb="FFFFFFFF"/>
      <name val="Aptos Display"/>
      <family val="2"/>
    </font>
    <font>
      <sz val="11"/>
      <name val="Aptos Display"/>
      <family val="2"/>
    </font>
    <font>
      <b/>
      <sz val="12"/>
      <color rgb="FFFFFFFF"/>
      <name val="Aptos Display"/>
      <family val="2"/>
    </font>
    <font>
      <b/>
      <sz val="10.5"/>
      <color rgb="FF1C2B2B"/>
      <name val="Aptos Display"/>
      <family val="2"/>
    </font>
    <font>
      <b/>
      <sz val="10.5"/>
      <name val="Aptos Display"/>
      <family val="2"/>
    </font>
    <font>
      <i/>
      <sz val="8.5"/>
      <color rgb="FF5B6770"/>
      <name val="Aptos Display"/>
      <family val="2"/>
    </font>
    <font>
      <i/>
      <sz val="9"/>
      <color rgb="FF5B6770"/>
      <name val="Aptos Display"/>
      <family val="2"/>
    </font>
    <font>
      <sz val="10"/>
      <color rgb="FF1C2B2B"/>
      <name val="Aptos Display"/>
      <family val="2"/>
    </font>
    <font>
      <b/>
      <sz val="10.5"/>
      <color rgb="FF0F2A22"/>
      <name val="Aptos Display"/>
      <family val="2"/>
    </font>
    <font>
      <i/>
      <sz val="9"/>
      <color rgb="FF5B6770"/>
      <name val="Calibri"/>
      <family val="2"/>
    </font>
    <font>
      <b/>
      <sz val="16"/>
      <color rgb="FFFFFFFF"/>
      <name val="Calibri"/>
      <family val="2"/>
    </font>
    <font>
      <i/>
      <sz val="8.5"/>
      <color rgb="FF5B6770"/>
      <name val="Calibri"/>
      <family val="2"/>
    </font>
    <font>
      <b/>
      <sz val="12"/>
      <color rgb="FFFFFFFF"/>
      <name val="Calibri"/>
      <family val="2"/>
    </font>
    <font>
      <b/>
      <sz val="11"/>
      <name val="Calibri"/>
      <family val="2"/>
    </font>
    <font>
      <i/>
      <sz val="9.5"/>
      <color rgb="FFFFFFFF"/>
      <name val="Calibri"/>
      <family val="2"/>
    </font>
    <font>
      <b/>
      <sz val="9"/>
      <color theme="0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9.5"/>
      <color rgb="FFFFFFFF"/>
      <name val="Calibri"/>
      <family val="2"/>
    </font>
    <font>
      <b/>
      <sz val="9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0F2A22"/>
      </patternFill>
    </fill>
    <fill>
      <patternFill patternType="solid">
        <fgColor rgb="FF2E7D32"/>
      </patternFill>
    </fill>
    <fill>
      <patternFill patternType="solid">
        <fgColor rgb="FF12463A"/>
      </patternFill>
    </fill>
    <fill>
      <patternFill patternType="solid">
        <fgColor rgb="FF6A4FB3"/>
      </patternFill>
    </fill>
    <fill>
      <patternFill patternType="solid">
        <fgColor rgb="FFE7F4EC"/>
      </patternFill>
    </fill>
    <fill>
      <patternFill patternType="solid">
        <fgColor rgb="FFF4FBF6"/>
      </patternFill>
    </fill>
    <fill>
      <patternFill patternType="solid">
        <fgColor rgb="FFF2F4F5"/>
      </patternFill>
    </fill>
    <fill>
      <patternFill patternType="solid">
        <fgColor rgb="FFE5EEF8"/>
      </patternFill>
    </fill>
    <fill>
      <patternFill patternType="solid">
        <fgColor rgb="FFEEE9F7"/>
      </patternFill>
    </fill>
    <fill>
      <patternFill patternType="solid">
        <fgColor rgb="FF1565C0"/>
      </patternFill>
    </fill>
    <fill>
      <patternFill patternType="solid">
        <fgColor rgb="FFF2F7F4"/>
      </patternFill>
    </fill>
    <fill>
      <patternFill patternType="solid">
        <fgColor rgb="FF5B6770"/>
      </patternFill>
    </fill>
    <fill>
      <patternFill patternType="solid">
        <fgColor rgb="FF1B7A5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D7DEE2"/>
      </left>
      <right style="thin">
        <color rgb="FFD7DEE2"/>
      </right>
      <top style="thin">
        <color rgb="FFD7DEE2"/>
      </top>
      <bottom style="thin">
        <color rgb="FFD7DEE2"/>
      </bottom>
      <diagonal/>
    </border>
  </borders>
  <cellStyleXfs count="1">
    <xf numFmtId="0" fontId="0" fillId="0" borderId="0"/>
  </cellStyleXfs>
  <cellXfs count="133">
    <xf numFmtId="0" fontId="0" fillId="0" borderId="0" xfId="0"/>
    <xf numFmtId="0" fontId="21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 wrapText="1"/>
    </xf>
    <xf numFmtId="0" fontId="0" fillId="0" borderId="1" xfId="0" applyBorder="1"/>
    <xf numFmtId="0" fontId="10" fillId="5" borderId="1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168" fontId="6" fillId="0" borderId="1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0" fontId="18" fillId="5" borderId="1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 wrapText="1"/>
    </xf>
    <xf numFmtId="0" fontId="18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8" fillId="0" borderId="1" xfId="0" applyFon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0" applyNumberFormat="1" applyFont="1" applyBorder="1" applyAlignment="1">
      <alignment horizontal="center" vertical="center"/>
    </xf>
    <xf numFmtId="167" fontId="19" fillId="0" borderId="1" xfId="0" applyNumberFormat="1" applyFont="1" applyBorder="1" applyAlignment="1">
      <alignment horizontal="center" vertical="center"/>
    </xf>
    <xf numFmtId="164" fontId="19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3" fillId="4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 wrapText="1"/>
    </xf>
    <xf numFmtId="0" fontId="8" fillId="6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165" fontId="12" fillId="7" borderId="1" xfId="0" applyNumberFormat="1" applyFont="1" applyFill="1" applyBorder="1" applyAlignment="1">
      <alignment horizontal="center" vertical="center"/>
    </xf>
    <xf numFmtId="0" fontId="0" fillId="8" borderId="1" xfId="0" applyFill="1" applyBorder="1"/>
    <xf numFmtId="0" fontId="13" fillId="0" borderId="1" xfId="0" applyFont="1" applyBorder="1" applyAlignment="1">
      <alignment horizontal="left" vertical="center" wrapText="1"/>
    </xf>
    <xf numFmtId="0" fontId="14" fillId="0" borderId="1" xfId="0" applyFont="1" applyBorder="1" applyAlignment="1">
      <alignment horizontal="left" vertical="center" wrapText="1"/>
    </xf>
    <xf numFmtId="0" fontId="8" fillId="8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0" fillId="0" borderId="0" xfId="0"/>
    <xf numFmtId="0" fontId="2" fillId="14" borderId="0" xfId="0" applyFont="1" applyFill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2" fillId="2" borderId="0" xfId="0" applyFont="1" applyFill="1" applyAlignment="1">
      <alignment horizontal="left" vertical="center"/>
    </xf>
    <xf numFmtId="0" fontId="5" fillId="9" borderId="1" xfId="0" applyFont="1" applyFill="1" applyBorder="1" applyAlignment="1">
      <alignment horizontal="left" vertical="center"/>
    </xf>
    <xf numFmtId="0" fontId="0" fillId="0" borderId="1" xfId="0" applyBorder="1"/>
    <xf numFmtId="3" fontId="25" fillId="0" borderId="1" xfId="0" applyNumberFormat="1" applyFont="1" applyBorder="1" applyAlignment="1">
      <alignment horizontal="center" vertical="center"/>
    </xf>
    <xf numFmtId="167" fontId="25" fillId="0" borderId="1" xfId="0" applyNumberFormat="1" applyFont="1" applyBorder="1" applyAlignment="1">
      <alignment horizontal="center" vertical="center"/>
    </xf>
    <xf numFmtId="168" fontId="23" fillId="9" borderId="1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left" vertical="center"/>
    </xf>
    <xf numFmtId="0" fontId="18" fillId="5" borderId="1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left" vertical="center"/>
    </xf>
    <xf numFmtId="0" fontId="18" fillId="3" borderId="1" xfId="0" applyFont="1" applyFill="1" applyBorder="1" applyAlignment="1">
      <alignment horizontal="center" vertical="center"/>
    </xf>
    <xf numFmtId="171" fontId="28" fillId="0" borderId="1" xfId="0" applyNumberFormat="1" applyFont="1" applyBorder="1" applyAlignment="1">
      <alignment horizontal="center" vertical="center"/>
    </xf>
    <xf numFmtId="171" fontId="27" fillId="0" borderId="1" xfId="0" applyNumberFormat="1" applyFont="1" applyBorder="1" applyAlignment="1">
      <alignment horizontal="center" vertical="center"/>
    </xf>
    <xf numFmtId="0" fontId="18" fillId="5" borderId="1" xfId="0" applyFont="1" applyFill="1" applyBorder="1" applyAlignment="1">
      <alignment horizontal="left" vertical="center"/>
    </xf>
    <xf numFmtId="0" fontId="21" fillId="6" borderId="1" xfId="0" applyFont="1" applyFill="1" applyBorder="1" applyAlignment="1">
      <alignment horizontal="center" vertical="center"/>
    </xf>
    <xf numFmtId="168" fontId="5" fillId="0" borderId="1" xfId="0" applyNumberFormat="1" applyFont="1" applyBorder="1" applyAlignment="1">
      <alignment horizontal="center" vertical="center"/>
    </xf>
    <xf numFmtId="168" fontId="28" fillId="0" borderId="1" xfId="0" applyNumberFormat="1" applyFont="1" applyBorder="1" applyAlignment="1">
      <alignment horizontal="center" vertical="center"/>
    </xf>
    <xf numFmtId="4" fontId="25" fillId="0" borderId="1" xfId="0" applyNumberFormat="1" applyFont="1" applyBorder="1" applyAlignment="1">
      <alignment horizontal="center" vertical="center"/>
    </xf>
    <xf numFmtId="167" fontId="27" fillId="0" borderId="1" xfId="0" applyNumberFormat="1" applyFont="1" applyBorder="1" applyAlignment="1">
      <alignment horizontal="center" vertical="center"/>
    </xf>
    <xf numFmtId="167" fontId="22" fillId="6" borderId="1" xfId="0" applyNumberFormat="1" applyFont="1" applyFill="1" applyBorder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 wrapText="1"/>
    </xf>
    <xf numFmtId="3" fontId="27" fillId="0" borderId="1" xfId="0" applyNumberFormat="1" applyFont="1" applyBorder="1" applyAlignment="1">
      <alignment horizontal="center" vertical="center"/>
    </xf>
    <xf numFmtId="168" fontId="27" fillId="0" borderId="1" xfId="0" applyNumberFormat="1" applyFont="1" applyBorder="1" applyAlignment="1">
      <alignment horizontal="center" vertical="center"/>
    </xf>
    <xf numFmtId="168" fontId="25" fillId="0" borderId="1" xfId="0" applyNumberFormat="1" applyFont="1" applyBorder="1" applyAlignment="1">
      <alignment horizontal="center" vertical="center"/>
    </xf>
    <xf numFmtId="0" fontId="18" fillId="11" borderId="1" xfId="0" applyFont="1" applyFill="1" applyBorder="1" applyAlignment="1">
      <alignment horizontal="left" vertical="center"/>
    </xf>
    <xf numFmtId="3" fontId="22" fillId="6" borderId="1" xfId="0" applyNumberFormat="1" applyFont="1" applyFill="1" applyBorder="1" applyAlignment="1">
      <alignment horizontal="center" vertical="center"/>
    </xf>
    <xf numFmtId="0" fontId="10" fillId="11" borderId="1" xfId="0" applyFont="1" applyFill="1" applyBorder="1" applyAlignment="1">
      <alignment horizontal="center" vertical="center" wrapText="1"/>
    </xf>
    <xf numFmtId="0" fontId="21" fillId="9" borderId="1" xfId="0" applyFont="1" applyFill="1" applyBorder="1" applyAlignment="1">
      <alignment horizontal="center" vertical="center"/>
    </xf>
    <xf numFmtId="167" fontId="5" fillId="0" borderId="1" xfId="0" applyNumberFormat="1" applyFont="1" applyBorder="1" applyAlignment="1">
      <alignment horizontal="center" vertical="center"/>
    </xf>
    <xf numFmtId="0" fontId="21" fillId="0" borderId="0" xfId="0" applyFont="1" applyAlignment="1">
      <alignment horizontal="left" vertical="top" wrapText="1"/>
    </xf>
    <xf numFmtId="0" fontId="10" fillId="5" borderId="1" xfId="0" applyFont="1" applyFill="1" applyBorder="1" applyAlignment="1">
      <alignment horizontal="center" vertical="center" wrapText="1"/>
    </xf>
    <xf numFmtId="0" fontId="21" fillId="10" borderId="1" xfId="0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left" vertical="center"/>
    </xf>
    <xf numFmtId="171" fontId="24" fillId="10" borderId="1" xfId="0" applyNumberFormat="1" applyFont="1" applyFill="1" applyBorder="1" applyAlignment="1">
      <alignment horizontal="center" vertical="center"/>
    </xf>
    <xf numFmtId="167" fontId="23" fillId="9" borderId="1" xfId="0" applyNumberFormat="1" applyFont="1" applyFill="1" applyBorder="1" applyAlignment="1">
      <alignment horizontal="center" vertical="center"/>
    </xf>
    <xf numFmtId="3" fontId="28" fillId="0" borderId="1" xfId="0" applyNumberFormat="1" applyFont="1" applyBorder="1" applyAlignment="1">
      <alignment horizontal="center" vertical="center"/>
    </xf>
    <xf numFmtId="0" fontId="29" fillId="2" borderId="0" xfId="0" applyFont="1" applyFill="1" applyAlignment="1">
      <alignment horizontal="left" vertical="center"/>
    </xf>
    <xf numFmtId="0" fontId="30" fillId="0" borderId="0" xfId="0" applyFont="1"/>
    <xf numFmtId="0" fontId="31" fillId="14" borderId="0" xfId="0" applyFont="1" applyFill="1" applyAlignment="1">
      <alignment horizontal="left" vertical="center"/>
    </xf>
    <xf numFmtId="0" fontId="30" fillId="0" borderId="0" xfId="0" applyFont="1"/>
    <xf numFmtId="0" fontId="32" fillId="0" borderId="0" xfId="0" applyFont="1" applyAlignment="1">
      <alignment horizontal="left" vertical="center"/>
    </xf>
    <xf numFmtId="0" fontId="33" fillId="15" borderId="1" xfId="0" applyFont="1" applyFill="1" applyBorder="1" applyAlignment="1">
      <alignment horizontal="left" vertical="center"/>
    </xf>
    <xf numFmtId="0" fontId="34" fillId="0" borderId="0" xfId="0" applyFont="1" applyAlignment="1">
      <alignment horizontal="left" vertical="center" wrapText="1"/>
    </xf>
    <xf numFmtId="0" fontId="35" fillId="0" borderId="0" xfId="0" applyFont="1" applyAlignment="1">
      <alignment horizontal="left" vertical="center" wrapText="1"/>
    </xf>
    <xf numFmtId="0" fontId="36" fillId="0" borderId="0" xfId="0" applyFont="1" applyAlignment="1">
      <alignment horizontal="left" vertical="center"/>
    </xf>
    <xf numFmtId="0" fontId="37" fillId="12" borderId="1" xfId="0" applyFont="1" applyFill="1" applyBorder="1" applyAlignment="1">
      <alignment horizontal="left" vertical="top" wrapText="1"/>
    </xf>
    <xf numFmtId="0" fontId="34" fillId="0" borderId="0" xfId="0" applyFont="1" applyAlignment="1">
      <alignment horizontal="left" vertical="center"/>
    </xf>
    <xf numFmtId="0" fontId="38" fillId="0" borderId="0" xfId="0" applyFont="1" applyAlignment="1">
      <alignment horizontal="left" vertical="center" wrapText="1"/>
    </xf>
    <xf numFmtId="0" fontId="39" fillId="2" borderId="0" xfId="0" applyFont="1" applyFill="1" applyAlignment="1">
      <alignment horizontal="left" vertical="center"/>
    </xf>
    <xf numFmtId="0" fontId="1" fillId="16" borderId="0" xfId="0" applyFont="1" applyFill="1" applyAlignment="1">
      <alignment horizontal="left" vertical="center"/>
    </xf>
    <xf numFmtId="0" fontId="0" fillId="16" borderId="0" xfId="0" applyFill="1"/>
    <xf numFmtId="0" fontId="40" fillId="0" borderId="0" xfId="0" applyFont="1" applyAlignment="1">
      <alignment horizontal="left" vertical="center" wrapText="1"/>
    </xf>
    <xf numFmtId="0" fontId="41" fillId="3" borderId="0" xfId="0" applyFont="1" applyFill="1" applyAlignment="1">
      <alignment horizontal="left" vertical="center"/>
    </xf>
    <xf numFmtId="0" fontId="41" fillId="11" borderId="0" xfId="0" applyFont="1" applyFill="1" applyAlignment="1">
      <alignment horizontal="left" vertical="center"/>
    </xf>
    <xf numFmtId="0" fontId="41" fillId="5" borderId="0" xfId="0" applyFont="1" applyFill="1" applyAlignment="1">
      <alignment horizontal="left" vertical="center"/>
    </xf>
    <xf numFmtId="0" fontId="41" fillId="2" borderId="0" xfId="0" applyFont="1" applyFill="1" applyAlignment="1">
      <alignment horizontal="left" vertical="center"/>
    </xf>
    <xf numFmtId="167" fontId="42" fillId="17" borderId="1" xfId="0" applyNumberFormat="1" applyFont="1" applyFill="1" applyBorder="1" applyAlignment="1">
      <alignment horizontal="center" vertical="center"/>
    </xf>
    <xf numFmtId="168" fontId="42" fillId="17" borderId="1" xfId="0" applyNumberFormat="1" applyFont="1" applyFill="1" applyBorder="1" applyAlignment="1">
      <alignment horizontal="center" vertical="center"/>
    </xf>
    <xf numFmtId="0" fontId="0" fillId="17" borderId="0" xfId="0" applyFont="1" applyFill="1"/>
    <xf numFmtId="169" fontId="42" fillId="17" borderId="1" xfId="0" applyNumberFormat="1" applyFont="1" applyFill="1" applyBorder="1" applyAlignment="1">
      <alignment horizontal="center" vertical="center"/>
    </xf>
    <xf numFmtId="0" fontId="42" fillId="17" borderId="1" xfId="0" applyFont="1" applyFill="1" applyBorder="1" applyAlignment="1">
      <alignment horizontal="center" vertical="center"/>
    </xf>
    <xf numFmtId="3" fontId="42" fillId="17" borderId="1" xfId="0" applyNumberFormat="1" applyFont="1" applyFill="1" applyBorder="1" applyAlignment="1">
      <alignment horizontal="center" vertical="center"/>
    </xf>
    <xf numFmtId="170" fontId="42" fillId="17" borderId="1" xfId="0" applyNumberFormat="1" applyFont="1" applyFill="1" applyBorder="1" applyAlignment="1">
      <alignment horizontal="center" vertical="center"/>
    </xf>
    <xf numFmtId="166" fontId="42" fillId="17" borderId="1" xfId="0" applyNumberFormat="1" applyFont="1" applyFill="1" applyBorder="1" applyAlignment="1">
      <alignment horizontal="center" vertical="center"/>
    </xf>
    <xf numFmtId="171" fontId="42" fillId="17" borderId="1" xfId="0" applyNumberFormat="1" applyFont="1" applyFill="1" applyBorder="1" applyAlignment="1">
      <alignment horizontal="center" vertical="center"/>
    </xf>
    <xf numFmtId="0" fontId="43" fillId="16" borderId="0" xfId="0" applyFont="1" applyFill="1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44" fillId="4" borderId="1" xfId="0" applyFont="1" applyFill="1" applyBorder="1" applyAlignment="1">
      <alignment horizontal="center" vertical="center" wrapText="1"/>
    </xf>
    <xf numFmtId="0" fontId="44" fillId="13" borderId="1" xfId="0" applyFont="1" applyFill="1" applyBorder="1" applyAlignment="1">
      <alignment horizontal="center" vertical="center" wrapText="1"/>
    </xf>
    <xf numFmtId="0" fontId="44" fillId="5" borderId="1" xfId="0" applyFont="1" applyFill="1" applyBorder="1" applyAlignment="1">
      <alignment horizontal="center" vertical="center" wrapText="1"/>
    </xf>
    <xf numFmtId="0" fontId="44" fillId="3" borderId="1" xfId="0" applyFont="1" applyFill="1" applyBorder="1" applyAlignment="1">
      <alignment horizontal="center" vertical="center" wrapText="1"/>
    </xf>
    <xf numFmtId="3" fontId="45" fillId="15" borderId="1" xfId="0" applyNumberFormat="1" applyFont="1" applyFill="1" applyBorder="1" applyAlignment="1">
      <alignment horizontal="center" vertical="center"/>
    </xf>
    <xf numFmtId="171" fontId="45" fillId="15" borderId="1" xfId="0" applyNumberFormat="1" applyFont="1" applyFill="1" applyBorder="1" applyAlignment="1">
      <alignment horizontal="center" vertical="center"/>
    </xf>
    <xf numFmtId="166" fontId="45" fillId="15" borderId="1" xfId="0" applyNumberFormat="1" applyFont="1" applyFill="1" applyBorder="1" applyAlignment="1">
      <alignment horizontal="center" vertical="center"/>
    </xf>
    <xf numFmtId="172" fontId="45" fillId="15" borderId="1" xfId="0" applyNumberFormat="1" applyFont="1" applyFill="1" applyBorder="1" applyAlignment="1">
      <alignment horizontal="center" vertical="center"/>
    </xf>
    <xf numFmtId="173" fontId="45" fillId="15" borderId="1" xfId="0" applyNumberFormat="1" applyFont="1" applyFill="1" applyBorder="1" applyAlignment="1">
      <alignment horizontal="center" vertical="center"/>
    </xf>
    <xf numFmtId="169" fontId="45" fillId="15" borderId="1" xfId="0" applyNumberFormat="1" applyFont="1" applyFill="1" applyBorder="1" applyAlignment="1">
      <alignment horizontal="center" vertical="center"/>
    </xf>
    <xf numFmtId="170" fontId="45" fillId="15" borderId="1" xfId="0" applyNumberFormat="1" applyFont="1" applyFill="1" applyBorder="1" applyAlignment="1">
      <alignment horizontal="center" vertical="center"/>
    </xf>
    <xf numFmtId="174" fontId="45" fillId="15" borderId="1" xfId="0" applyNumberFormat="1" applyFont="1" applyFill="1" applyBorder="1" applyAlignment="1">
      <alignment horizontal="center" vertical="center"/>
    </xf>
    <xf numFmtId="167" fontId="45" fillId="15" borderId="1" xfId="0" applyNumberFormat="1" applyFont="1" applyFill="1" applyBorder="1" applyAlignment="1">
      <alignment horizontal="center" vertical="center"/>
    </xf>
    <xf numFmtId="168" fontId="45" fillId="15" borderId="1" xfId="0" applyNumberFormat="1" applyFont="1" applyFill="1" applyBorder="1" applyAlignment="1">
      <alignment horizontal="center" vertical="center"/>
    </xf>
    <xf numFmtId="175" fontId="45" fillId="15" borderId="1" xfId="0" applyNumberFormat="1" applyFont="1" applyFill="1" applyBorder="1" applyAlignment="1">
      <alignment horizontal="center" vertical="center"/>
    </xf>
    <xf numFmtId="172" fontId="46" fillId="15" borderId="1" xfId="0" applyNumberFormat="1" applyFont="1" applyFill="1" applyBorder="1" applyAlignment="1">
      <alignment horizontal="center" vertical="center"/>
    </xf>
    <xf numFmtId="4" fontId="45" fillId="15" borderId="1" xfId="0" applyNumberFormat="1" applyFont="1" applyFill="1" applyBorder="1" applyAlignment="1">
      <alignment horizontal="center" vertical="center"/>
    </xf>
    <xf numFmtId="165" fontId="45" fillId="15" borderId="1" xfId="0" applyNumberFormat="1" applyFont="1" applyFill="1" applyBorder="1" applyAlignment="1">
      <alignment horizontal="center" vertical="center"/>
    </xf>
    <xf numFmtId="0" fontId="47" fillId="5" borderId="1" xfId="0" applyFont="1" applyFill="1" applyBorder="1" applyAlignment="1">
      <alignment horizontal="center" vertical="center" wrapText="1"/>
    </xf>
    <xf numFmtId="164" fontId="48" fillId="15" borderId="1" xfId="0" applyNumberFormat="1" applyFont="1" applyFill="1" applyBorder="1" applyAlignment="1">
      <alignment horizontal="center" vertical="center"/>
    </xf>
    <xf numFmtId="0" fontId="0" fillId="15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fr-MA"/>
              <a:t>Émissions par scope (tCO2e)</a:t>
            </a:r>
          </a:p>
        </c:rich>
      </c:tx>
      <c:overlay val="1"/>
    </c:title>
    <c:autoTitleDeleted val="0"/>
    <c:plotArea>
      <c:layout/>
      <c:doughnutChart>
        <c:varyColors val="1"/>
        <c:ser>
          <c:idx val="0"/>
          <c:order val="0"/>
          <c:tx>
            <c:strRef>
              <c:f>'08_CONTROLES'!$C$55</c:f>
              <c:strCache>
                <c:ptCount val="1"/>
                <c:pt idx="0">
                  <c:v>tCO2e</c:v>
                </c:pt>
              </c:strCache>
            </c:strRef>
          </c:tx>
          <c:spPr>
            <a:ln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showLegendKey val="1"/>
            <c:showVal val="1"/>
            <c:showCatName val="1"/>
            <c:showSerName val="1"/>
            <c:showPercent val="1"/>
            <c:showBubbleSize val="1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'08_CONTROLES'!$A$56:$A$58</c:f>
              <c:strCache>
                <c:ptCount val="3"/>
                <c:pt idx="0">
                  <c:v>Scope 1</c:v>
                </c:pt>
                <c:pt idx="1">
                  <c:v>Scope 2</c:v>
                </c:pt>
                <c:pt idx="2">
                  <c:v>Scope 3</c:v>
                </c:pt>
              </c:strCache>
            </c:strRef>
          </c:cat>
          <c:val>
            <c:numRef>
              <c:f>'08_CONTROLES'!$C$56:$C$58</c:f>
              <c:numCache>
                <c:formatCode>#,##0.0\ "tCO2e"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8B-437B-97A9-DDD7ED24A339}"/>
            </c:ext>
          </c:extLst>
        </c:ser>
        <c:dLbls>
          <c:showLegendKey val="1"/>
          <c:showVal val="1"/>
          <c:showCatName val="1"/>
          <c:showSerName val="1"/>
          <c:showPercent val="1"/>
          <c:showBubbleSize val="1"/>
          <c:showLeaderLines val="1"/>
        </c:dLbls>
        <c:firstSliceAng val="0"/>
        <c:holeSize val="10"/>
      </c:doughnut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fr-MA"/>
              <a:t>Émissions par thème (tCO2e)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'08_CONTROLES'!$C$60</c:f>
              <c:strCache>
                <c:ptCount val="1"/>
                <c:pt idx="0">
                  <c:v>tCO2e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'08_CONTROLES'!$A$61:$A$65</c:f>
              <c:strCache>
                <c:ptCount val="5"/>
                <c:pt idx="0">
                  <c:v>Énergie</c:v>
                </c:pt>
                <c:pt idx="1">
                  <c:v>Mobilité</c:v>
                </c:pt>
                <c:pt idx="2">
                  <c:v>Numérique</c:v>
                </c:pt>
                <c:pt idx="3">
                  <c:v>Achats</c:v>
                </c:pt>
                <c:pt idx="4">
                  <c:v>Déchets</c:v>
                </c:pt>
              </c:strCache>
            </c:strRef>
          </c:cat>
          <c:val>
            <c:numRef>
              <c:f>'08_CONTROLES'!$C$61:$C$65</c:f>
              <c:numCache>
                <c:formatCode>#,##0.0\ "tCO2e"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80-404C-A707-63B4120C5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#,##0.0\ &quot;tCO2e&quot;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62</xdr:row>
      <xdr:rowOff>0</xdr:rowOff>
    </xdr:from>
    <xdr:ext cx="396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6</xdr:col>
      <xdr:colOff>0</xdr:colOff>
      <xdr:row>62</xdr:row>
      <xdr:rowOff>0</xdr:rowOff>
    </xdr:from>
    <xdr:ext cx="3960000" cy="27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ESG">
  <a:themeElements>
    <a:clrScheme name="ESG">
      <a:dk1>
        <a:srgbClr val="0B1220"/>
      </a:dk1>
      <a:lt1>
        <a:srgbClr val="FFFFFF"/>
      </a:lt1>
      <a:dk2>
        <a:srgbClr val="0E2841"/>
      </a:dk2>
      <a:lt2>
        <a:srgbClr val="F8FAFC"/>
      </a:lt2>
      <a:accent1>
        <a:srgbClr val="14532D"/>
      </a:accent1>
      <a:accent2>
        <a:srgbClr val="0F766E"/>
      </a:accent2>
      <a:accent3>
        <a:srgbClr val="2563EB"/>
      </a:accent3>
      <a:accent4>
        <a:srgbClr val="F97316"/>
      </a:accent4>
      <a:accent5>
        <a:srgbClr val="7C3AED"/>
      </a:accent5>
      <a:accent6>
        <a:srgbClr val="64748B"/>
      </a:accent6>
      <a:hlink>
        <a:srgbClr val="2563EB"/>
      </a:hlink>
      <a:folHlink>
        <a:srgbClr val="7C3AE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ESG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F2A22"/>
    <pageSetUpPr fitToPage="1"/>
  </sheetPr>
  <dimension ref="A1:F27"/>
  <sheetViews>
    <sheetView showGridLines="0" tabSelected="1" workbookViewId="0">
      <selection activeCell="B8" sqref="B8"/>
    </sheetView>
  </sheetViews>
  <sheetFormatPr defaultRowHeight="13.8"/>
  <cols>
    <col min="1" max="2" width="26" customWidth="1"/>
    <col min="3" max="3" width="40" customWidth="1"/>
    <col min="4" max="4" width="4" customWidth="1"/>
    <col min="5" max="5" width="26" customWidth="1"/>
    <col min="6" max="6" width="40" customWidth="1"/>
  </cols>
  <sheetData>
    <row r="1" spans="1:6" ht="30" customHeight="1">
      <c r="A1" s="81" t="s">
        <v>575</v>
      </c>
      <c r="B1" s="82"/>
      <c r="C1" s="82"/>
      <c r="D1" s="82"/>
      <c r="E1" s="82"/>
      <c r="F1" s="82"/>
    </row>
    <row r="2" spans="1:6" ht="15" customHeight="1">
      <c r="A2" s="94"/>
      <c r="B2" s="95"/>
      <c r="C2" s="95"/>
      <c r="D2" s="95"/>
      <c r="E2" s="95"/>
      <c r="F2" s="95"/>
    </row>
    <row r="4" spans="1:6" ht="22.95" customHeight="1">
      <c r="A4" s="83" t="s">
        <v>565</v>
      </c>
      <c r="B4" s="82"/>
      <c r="C4" s="82"/>
      <c r="D4" s="82"/>
      <c r="E4" s="82"/>
      <c r="F4" s="82"/>
    </row>
    <row r="5" spans="1:6" ht="14.4">
      <c r="A5" s="84"/>
      <c r="B5" s="84"/>
      <c r="C5" s="84"/>
      <c r="D5" s="84"/>
      <c r="E5" s="84"/>
      <c r="F5" s="84"/>
    </row>
    <row r="6" spans="1:6" ht="19.95" customHeight="1">
      <c r="A6" s="85" t="s">
        <v>0</v>
      </c>
      <c r="B6" s="84"/>
      <c r="C6" s="86" t="s">
        <v>1</v>
      </c>
      <c r="D6" s="84"/>
      <c r="E6" s="91" t="s">
        <v>568</v>
      </c>
      <c r="F6" s="84"/>
    </row>
    <row r="7" spans="1:6" ht="19.95" customHeight="1">
      <c r="A7" s="85" t="s">
        <v>2</v>
      </c>
      <c r="B7" s="84"/>
      <c r="C7" s="86" t="s">
        <v>3</v>
      </c>
      <c r="D7" s="84"/>
      <c r="E7" s="87"/>
      <c r="F7" s="84"/>
    </row>
    <row r="8" spans="1:6" ht="19.95" customHeight="1">
      <c r="A8" s="85" t="s">
        <v>4</v>
      </c>
      <c r="B8" s="84"/>
      <c r="C8" s="86" t="s">
        <v>5</v>
      </c>
      <c r="D8" s="84"/>
      <c r="E8" s="87"/>
      <c r="F8" s="84"/>
    </row>
    <row r="9" spans="1:6" ht="14.4">
      <c r="A9" s="84"/>
      <c r="B9" s="84"/>
      <c r="C9" s="84"/>
      <c r="D9" s="84"/>
      <c r="E9" s="84"/>
      <c r="F9" s="84"/>
    </row>
    <row r="10" spans="1:6" ht="22.95" customHeight="1">
      <c r="A10" s="83" t="s">
        <v>567</v>
      </c>
      <c r="B10" s="82"/>
      <c r="C10" s="82"/>
      <c r="D10" s="82"/>
      <c r="E10" s="82"/>
      <c r="F10" s="82"/>
    </row>
    <row r="11" spans="1:6" ht="14.4">
      <c r="A11" s="84"/>
      <c r="B11" s="84"/>
      <c r="C11" s="84"/>
      <c r="D11" s="84"/>
      <c r="E11" s="84"/>
      <c r="F11" s="84"/>
    </row>
    <row r="12" spans="1:6" ht="22.05" customHeight="1">
      <c r="A12" s="88"/>
      <c r="B12" s="82"/>
      <c r="C12" s="89" t="s">
        <v>560</v>
      </c>
      <c r="D12" s="84"/>
      <c r="E12" s="84"/>
      <c r="F12" s="84"/>
    </row>
    <row r="13" spans="1:6" ht="14.4">
      <c r="A13" s="82"/>
      <c r="B13" s="82"/>
      <c r="C13" s="84"/>
      <c r="D13" s="84"/>
      <c r="E13" s="84"/>
      <c r="F13" s="84"/>
    </row>
    <row r="14" spans="1:6" ht="22.05" customHeight="1">
      <c r="A14" s="82"/>
      <c r="B14" s="82"/>
      <c r="C14" s="89" t="s">
        <v>561</v>
      </c>
      <c r="D14" s="84"/>
      <c r="E14" s="84"/>
      <c r="F14" s="84"/>
    </row>
    <row r="15" spans="1:6" ht="14.4">
      <c r="A15" s="82"/>
      <c r="B15" s="82"/>
      <c r="C15" s="84"/>
      <c r="D15" s="84"/>
      <c r="E15" s="84"/>
      <c r="F15" s="84"/>
    </row>
    <row r="16" spans="1:6" ht="22.05" customHeight="1">
      <c r="A16" s="82"/>
      <c r="B16" s="82"/>
      <c r="C16" s="89" t="s">
        <v>562</v>
      </c>
      <c r="D16" s="84"/>
      <c r="E16" s="84"/>
      <c r="F16" s="84"/>
    </row>
    <row r="17" spans="1:6" ht="14.4">
      <c r="A17" s="82"/>
      <c r="B17" s="82"/>
      <c r="C17" s="84"/>
      <c r="D17" s="84"/>
      <c r="E17" s="84"/>
      <c r="F17" s="84"/>
    </row>
    <row r="18" spans="1:6" ht="22.05" customHeight="1">
      <c r="A18" s="82"/>
      <c r="B18" s="82"/>
      <c r="C18" s="89" t="s">
        <v>563</v>
      </c>
      <c r="D18" s="84"/>
      <c r="E18" s="84"/>
      <c r="F18" s="84"/>
    </row>
    <row r="19" spans="1:6" ht="14.4">
      <c r="A19" s="82"/>
      <c r="B19" s="82"/>
      <c r="C19" s="84"/>
      <c r="D19" s="84"/>
      <c r="E19" s="84"/>
      <c r="F19" s="84"/>
    </row>
    <row r="20" spans="1:6" ht="22.05" customHeight="1">
      <c r="A20" s="82"/>
      <c r="B20" s="82"/>
      <c r="C20" s="89" t="s">
        <v>576</v>
      </c>
      <c r="D20" s="84"/>
      <c r="E20" s="84"/>
      <c r="F20" s="84"/>
    </row>
    <row r="21" spans="1:6" ht="14.4">
      <c r="A21" s="82"/>
      <c r="B21" s="82"/>
      <c r="C21" s="84"/>
      <c r="D21" s="84"/>
      <c r="E21" s="84"/>
      <c r="F21" s="84"/>
    </row>
    <row r="22" spans="1:6" ht="22.05" customHeight="1">
      <c r="A22" s="82"/>
      <c r="B22" s="82"/>
      <c r="C22" s="89" t="s">
        <v>564</v>
      </c>
      <c r="D22" s="84"/>
      <c r="E22" s="84"/>
      <c r="F22" s="84"/>
    </row>
    <row r="23" spans="1:6" ht="14.4">
      <c r="A23" s="82"/>
      <c r="B23" s="82"/>
      <c r="C23" s="84"/>
      <c r="D23" s="84"/>
      <c r="E23" s="84"/>
      <c r="F23" s="84"/>
    </row>
    <row r="24" spans="1:6" ht="14.4">
      <c r="A24" s="84"/>
      <c r="B24" s="84"/>
      <c r="C24" s="84"/>
      <c r="D24" s="84"/>
      <c r="E24" s="84"/>
      <c r="F24" s="84"/>
    </row>
    <row r="25" spans="1:6" ht="22.95" customHeight="1">
      <c r="A25" s="83" t="s">
        <v>566</v>
      </c>
      <c r="B25" s="82"/>
      <c r="C25" s="82"/>
      <c r="D25" s="82"/>
      <c r="E25" s="82"/>
      <c r="F25" s="82"/>
    </row>
    <row r="26" spans="1:6">
      <c r="A26" s="90" t="s">
        <v>6</v>
      </c>
      <c r="B26" s="82"/>
      <c r="C26" s="82"/>
      <c r="D26" s="82"/>
      <c r="E26" s="82"/>
      <c r="F26" s="82"/>
    </row>
    <row r="27" spans="1:6">
      <c r="A27" s="82"/>
      <c r="B27" s="82"/>
      <c r="C27" s="82"/>
      <c r="D27" s="82"/>
      <c r="E27" s="82"/>
      <c r="F27" s="82"/>
    </row>
  </sheetData>
  <mergeCells count="10">
    <mergeCell ref="A12:B23"/>
    <mergeCell ref="C6"/>
    <mergeCell ref="A4:F4"/>
    <mergeCell ref="A26:F27"/>
    <mergeCell ref="A25:F25"/>
    <mergeCell ref="A2:F2"/>
    <mergeCell ref="C8"/>
    <mergeCell ref="A10:F10"/>
    <mergeCell ref="A1:F1"/>
    <mergeCell ref="C7"/>
  </mergeCells>
  <printOptions horizontalCentered="1"/>
  <pageMargins left="0.3" right="0.3" top="0.4" bottom="0.4" header="0.5" footer="0.5"/>
  <pageSetup fitToHeight="0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E5B700"/>
    <pageSetUpPr fitToPage="1"/>
  </sheetPr>
  <dimension ref="A1:F53"/>
  <sheetViews>
    <sheetView showGridLines="0" workbookViewId="0">
      <selection activeCell="B4" sqref="B4"/>
    </sheetView>
  </sheetViews>
  <sheetFormatPr defaultRowHeight="13.8"/>
  <cols>
    <col min="1" max="1" width="4" customWidth="1"/>
    <col min="2" max="2" width="52" customWidth="1"/>
    <col min="3" max="3" width="2" customWidth="1"/>
    <col min="4" max="4" width="16" customWidth="1"/>
    <col min="5" max="5" width="2" customWidth="1"/>
    <col min="6" max="6" width="40" customWidth="1"/>
  </cols>
  <sheetData>
    <row r="1" spans="1:6" ht="30" customHeight="1">
      <c r="A1" s="93" t="s">
        <v>572</v>
      </c>
      <c r="B1" s="42"/>
      <c r="C1" s="42"/>
      <c r="D1" s="42"/>
      <c r="E1" s="42"/>
      <c r="F1" s="42"/>
    </row>
    <row r="2" spans="1:6" ht="15" customHeight="1">
      <c r="A2" s="94"/>
      <c r="B2" s="95"/>
      <c r="C2" s="95"/>
      <c r="D2" s="95"/>
      <c r="E2" s="95"/>
      <c r="F2" s="95"/>
    </row>
    <row r="4" spans="1:6" ht="28.05" customHeight="1">
      <c r="B4" s="92" t="s">
        <v>569</v>
      </c>
    </row>
    <row r="5" spans="1:6">
      <c r="B5" s="92"/>
    </row>
    <row r="6" spans="1:6" ht="22.95" customHeight="1">
      <c r="A6" s="97" t="s">
        <v>557</v>
      </c>
      <c r="B6" s="42"/>
      <c r="C6" s="42"/>
      <c r="D6" s="42"/>
      <c r="E6" s="42"/>
      <c r="F6" s="42"/>
    </row>
    <row r="7" spans="1:6" ht="19.95" customHeight="1">
      <c r="B7" s="3" t="s">
        <v>7</v>
      </c>
      <c r="D7" s="101">
        <v>0</v>
      </c>
      <c r="F7" s="1"/>
    </row>
    <row r="8" spans="1:6" ht="19.95" customHeight="1">
      <c r="B8" s="3" t="s">
        <v>8</v>
      </c>
      <c r="D8" s="102">
        <v>0</v>
      </c>
      <c r="F8" s="1"/>
    </row>
    <row r="9" spans="1:6" ht="19.95" customHeight="1">
      <c r="B9" s="3" t="s">
        <v>9</v>
      </c>
      <c r="D9" s="102">
        <v>0</v>
      </c>
      <c r="F9" s="1"/>
    </row>
    <row r="10" spans="1:6" ht="19.95" customHeight="1">
      <c r="B10" s="3" t="s">
        <v>10</v>
      </c>
      <c r="D10" s="101">
        <v>0</v>
      </c>
      <c r="F10" s="1"/>
    </row>
    <row r="11" spans="1:6" ht="19.95" customHeight="1">
      <c r="B11" s="3" t="s">
        <v>11</v>
      </c>
      <c r="D11" s="101">
        <v>0</v>
      </c>
      <c r="F11" s="1"/>
    </row>
    <row r="12" spans="1:6" hidden="1">
      <c r="D12" s="103"/>
    </row>
    <row r="13" spans="1:6" ht="22.95" hidden="1" customHeight="1">
      <c r="D13" s="103"/>
    </row>
    <row r="14" spans="1:6" ht="19.95" customHeight="1">
      <c r="B14" s="3" t="s">
        <v>12</v>
      </c>
      <c r="D14" s="104">
        <v>0</v>
      </c>
      <c r="F14" s="96"/>
    </row>
    <row r="15" spans="1:6" ht="19.95" customHeight="1">
      <c r="B15" s="3" t="s">
        <v>13</v>
      </c>
      <c r="D15" s="104">
        <v>0</v>
      </c>
      <c r="F15" s="1"/>
    </row>
    <row r="16" spans="1:6" ht="19.95" customHeight="1">
      <c r="B16" s="3" t="s">
        <v>14</v>
      </c>
      <c r="D16" s="105" t="s">
        <v>15</v>
      </c>
      <c r="F16" s="1"/>
    </row>
    <row r="17" spans="1:6" ht="19.95" customHeight="1">
      <c r="B17" s="3" t="s">
        <v>16</v>
      </c>
      <c r="D17" s="105" t="s">
        <v>15</v>
      </c>
      <c r="F17" s="1"/>
    </row>
    <row r="18" spans="1:6" ht="19.95" customHeight="1">
      <c r="B18" s="3" t="s">
        <v>17</v>
      </c>
      <c r="D18" s="106">
        <v>0</v>
      </c>
      <c r="F18" s="1"/>
    </row>
    <row r="19" spans="1:6" ht="19.95" customHeight="1">
      <c r="B19" s="3" t="s">
        <v>18</v>
      </c>
      <c r="D19" s="106">
        <v>0</v>
      </c>
      <c r="F19" s="1"/>
    </row>
    <row r="20" spans="1:6" ht="19.95" customHeight="1">
      <c r="B20" s="3" t="s">
        <v>19</v>
      </c>
      <c r="D20" s="106">
        <v>0</v>
      </c>
      <c r="F20" s="1"/>
    </row>
    <row r="21" spans="1:6" ht="19.95" customHeight="1">
      <c r="B21" s="3" t="s">
        <v>20</v>
      </c>
      <c r="D21" s="107">
        <v>0</v>
      </c>
      <c r="F21" s="1"/>
    </row>
    <row r="22" spans="1:6" ht="19.95" customHeight="1">
      <c r="B22" s="3" t="s">
        <v>21</v>
      </c>
      <c r="D22" s="107">
        <v>0</v>
      </c>
      <c r="F22" s="1"/>
    </row>
    <row r="23" spans="1:6" ht="19.95" customHeight="1">
      <c r="B23" s="3" t="s">
        <v>22</v>
      </c>
      <c r="D23" s="102">
        <v>0</v>
      </c>
      <c r="F23" s="1" t="s">
        <v>23</v>
      </c>
    </row>
    <row r="24" spans="1:6" ht="19.95" customHeight="1">
      <c r="B24" s="3" t="s">
        <v>24</v>
      </c>
      <c r="D24" s="105" t="s">
        <v>15</v>
      </c>
      <c r="F24" s="1"/>
    </row>
    <row r="25" spans="1:6" ht="19.95" customHeight="1">
      <c r="B25" s="3" t="s">
        <v>25</v>
      </c>
      <c r="D25" s="105" t="s">
        <v>26</v>
      </c>
      <c r="F25" s="1"/>
    </row>
    <row r="27" spans="1:6" ht="22.95" customHeight="1">
      <c r="A27" s="98" t="s">
        <v>558</v>
      </c>
      <c r="B27" s="42"/>
      <c r="C27" s="42"/>
      <c r="D27" s="42"/>
      <c r="E27" s="42"/>
      <c r="F27" s="42"/>
    </row>
    <row r="28" spans="1:6" ht="19.95" customHeight="1">
      <c r="B28" s="3" t="s">
        <v>27</v>
      </c>
      <c r="D28" s="106">
        <v>0</v>
      </c>
      <c r="F28" s="1"/>
    </row>
    <row r="29" spans="1:6" ht="19.95" customHeight="1">
      <c r="B29" s="3" t="s">
        <v>28</v>
      </c>
      <c r="D29" s="106">
        <v>0</v>
      </c>
    </row>
    <row r="30" spans="1:6" ht="19.95" customHeight="1">
      <c r="B30" s="3" t="s">
        <v>29</v>
      </c>
      <c r="D30" s="106">
        <v>0</v>
      </c>
      <c r="F30" s="1"/>
    </row>
    <row r="31" spans="1:6" ht="19.95" customHeight="1">
      <c r="B31" s="3" t="s">
        <v>30</v>
      </c>
      <c r="D31" s="106">
        <v>0</v>
      </c>
      <c r="F31" s="96"/>
    </row>
    <row r="32" spans="1:6" ht="19.95" customHeight="1">
      <c r="B32" s="3" t="s">
        <v>31</v>
      </c>
      <c r="D32" s="106">
        <v>0</v>
      </c>
      <c r="F32" s="1" t="s">
        <v>32</v>
      </c>
    </row>
    <row r="33" spans="1:6" ht="19.95" customHeight="1">
      <c r="B33" s="3" t="s">
        <v>33</v>
      </c>
      <c r="D33" s="106">
        <v>0</v>
      </c>
      <c r="F33" s="1"/>
    </row>
    <row r="34" spans="1:6" ht="19.95" customHeight="1">
      <c r="B34" s="3" t="s">
        <v>34</v>
      </c>
      <c r="D34" s="106">
        <v>0</v>
      </c>
      <c r="F34" s="1"/>
    </row>
    <row r="35" spans="1:6" ht="19.95" customHeight="1">
      <c r="B35" s="3" t="s">
        <v>35</v>
      </c>
      <c r="D35" s="106">
        <v>0</v>
      </c>
    </row>
    <row r="36" spans="1:6" ht="19.95" customHeight="1">
      <c r="B36" s="3" t="s">
        <v>36</v>
      </c>
      <c r="D36" s="102">
        <v>0</v>
      </c>
      <c r="F36" s="1" t="s">
        <v>23</v>
      </c>
    </row>
    <row r="37" spans="1:6" ht="19.95" customHeight="1">
      <c r="B37" s="3" t="s">
        <v>37</v>
      </c>
      <c r="D37" s="106">
        <v>0</v>
      </c>
      <c r="F37" s="1"/>
    </row>
    <row r="38" spans="1:6" ht="19.95" customHeight="1">
      <c r="B38" s="3" t="s">
        <v>38</v>
      </c>
      <c r="D38" s="106">
        <v>0</v>
      </c>
    </row>
    <row r="39" spans="1:6" ht="19.95" customHeight="1">
      <c r="B39" s="3" t="s">
        <v>39</v>
      </c>
      <c r="D39" s="108">
        <v>1801.8</v>
      </c>
      <c r="F39" s="96" t="s">
        <v>571</v>
      </c>
    </row>
    <row r="41" spans="1:6" ht="22.95" customHeight="1">
      <c r="A41" s="99" t="s">
        <v>573</v>
      </c>
      <c r="B41" s="42"/>
      <c r="C41" s="42"/>
      <c r="D41" s="42"/>
      <c r="E41" s="42"/>
      <c r="F41" s="42"/>
    </row>
    <row r="42" spans="1:6" ht="19.95" customHeight="1">
      <c r="B42" s="3" t="s">
        <v>40</v>
      </c>
      <c r="D42" s="105" t="s">
        <v>41</v>
      </c>
      <c r="F42" s="1"/>
    </row>
    <row r="43" spans="1:6" ht="19.95" customHeight="1">
      <c r="B43" s="3" t="s">
        <v>42</v>
      </c>
      <c r="D43" s="105" t="s">
        <v>15</v>
      </c>
    </row>
    <row r="44" spans="1:6" ht="19.95" customHeight="1">
      <c r="B44" s="3" t="s">
        <v>43</v>
      </c>
      <c r="D44" s="105" t="s">
        <v>15</v>
      </c>
    </row>
    <row r="45" spans="1:6" ht="19.95" customHeight="1">
      <c r="B45" s="3" t="s">
        <v>44</v>
      </c>
      <c r="D45" s="105" t="s">
        <v>15</v>
      </c>
    </row>
    <row r="46" spans="1:6" ht="19.95" customHeight="1">
      <c r="B46" s="3" t="s">
        <v>45</v>
      </c>
      <c r="D46" s="102">
        <v>0</v>
      </c>
      <c r="F46" s="1" t="s">
        <v>23</v>
      </c>
    </row>
    <row r="47" spans="1:6" ht="19.95" customHeight="1">
      <c r="B47" s="3" t="s">
        <v>46</v>
      </c>
      <c r="D47" s="106">
        <v>0</v>
      </c>
      <c r="F47" s="96" t="s">
        <v>570</v>
      </c>
    </row>
    <row r="48" spans="1:6" ht="19.95" customHeight="1">
      <c r="B48" s="3" t="s">
        <v>47</v>
      </c>
      <c r="D48" s="109">
        <v>0</v>
      </c>
      <c r="F48" s="96" t="s">
        <v>570</v>
      </c>
    </row>
    <row r="50" spans="1:6" ht="22.95" customHeight="1">
      <c r="A50" s="100" t="s">
        <v>574</v>
      </c>
      <c r="B50" s="42"/>
      <c r="C50" s="42"/>
      <c r="D50" s="42"/>
      <c r="E50" s="42"/>
      <c r="F50" s="42"/>
    </row>
    <row r="51" spans="1:6" ht="19.95" customHeight="1">
      <c r="B51" s="3" t="s">
        <v>48</v>
      </c>
      <c r="D51" s="102">
        <v>0</v>
      </c>
      <c r="F51" s="1"/>
    </row>
    <row r="52" spans="1:6" ht="19.95" customHeight="1">
      <c r="B52" s="3" t="s">
        <v>49</v>
      </c>
      <c r="D52" s="102">
        <v>0</v>
      </c>
      <c r="F52" s="1"/>
    </row>
    <row r="53" spans="1:6" ht="19.95" customHeight="1">
      <c r="B53" s="3" t="s">
        <v>50</v>
      </c>
      <c r="D53" s="101">
        <v>0</v>
      </c>
      <c r="F53" s="1"/>
    </row>
  </sheetData>
  <mergeCells count="6">
    <mergeCell ref="A50:F50"/>
    <mergeCell ref="A41:F41"/>
    <mergeCell ref="A2:F2"/>
    <mergeCell ref="A1:F1"/>
    <mergeCell ref="A27:F27"/>
    <mergeCell ref="A6:F6"/>
  </mergeCells>
  <dataValidations count="3">
    <dataValidation type="list" allowBlank="1" sqref="D43:D45 D24 D16:D17" xr:uid="{00000000-0002-0000-0100-000000000000}">
      <formula1>"Oui,Non"</formula1>
    </dataValidation>
    <dataValidation type="list" allowBlank="1" sqref="D25" xr:uid="{00000000-0002-0000-0100-000003000000}">
      <formula1>"Gazole,Essence,GNR,Aucun"</formula1>
    </dataValidation>
    <dataValidation type="list" allowBlank="1" sqref="D42" xr:uid="{00000000-0002-0000-0100-000004000000}">
      <formula1>"VSME,Volontaire,Aucun"</formula1>
    </dataValidation>
  </dataValidations>
  <printOptions horizontalCentered="1"/>
  <pageMargins left="0.3" right="0.3" top="0.4" bottom="0.4" header="0.5" footer="0.5"/>
  <pageSetup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1B7A52"/>
    <pageSetUpPr fitToPage="1"/>
  </sheetPr>
  <dimension ref="A1:L80"/>
  <sheetViews>
    <sheetView showGridLines="0" workbookViewId="0">
      <selection activeCell="A5" sqref="A5:C5"/>
    </sheetView>
  </sheetViews>
  <sheetFormatPr defaultRowHeight="13.8"/>
  <cols>
    <col min="1" max="12" width="11.5" customWidth="1"/>
  </cols>
  <sheetData>
    <row r="1" spans="1:12" ht="30" customHeight="1">
      <c r="A1" s="93" t="s">
        <v>580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</row>
    <row r="2" spans="1:12" ht="15" customHeight="1">
      <c r="A2" s="94"/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</row>
    <row r="4" spans="1:12" ht="18" customHeight="1">
      <c r="A4" s="65" t="s">
        <v>51</v>
      </c>
      <c r="B4" s="47"/>
      <c r="C4" s="47"/>
      <c r="D4" s="65" t="s">
        <v>52</v>
      </c>
      <c r="E4" s="47"/>
      <c r="F4" s="47"/>
      <c r="G4" s="65" t="s">
        <v>53</v>
      </c>
      <c r="H4" s="47"/>
      <c r="I4" s="47"/>
      <c r="J4" s="65" t="s">
        <v>54</v>
      </c>
      <c r="K4" s="47"/>
      <c r="L4" s="47"/>
    </row>
    <row r="5" spans="1:12" ht="34.049999999999997" customHeight="1">
      <c r="A5" s="63">
        <f>GES_RET</f>
        <v>0</v>
      </c>
      <c r="B5" s="47"/>
      <c r="C5" s="47"/>
      <c r="D5" s="63">
        <f>IFERROR(GES_RET/(CA/1000000),0)</f>
        <v>0</v>
      </c>
      <c r="E5" s="47"/>
      <c r="F5" s="47"/>
      <c r="G5" s="63">
        <f>ENER_MWH</f>
        <v>0</v>
      </c>
      <c r="H5" s="47"/>
      <c r="I5" s="47"/>
      <c r="J5" s="70">
        <f>EAU_M3</f>
        <v>0</v>
      </c>
      <c r="K5" s="47"/>
      <c r="L5" s="47"/>
    </row>
    <row r="6" spans="1:12" ht="15" customHeight="1">
      <c r="A6" s="58" t="s">
        <v>55</v>
      </c>
      <c r="B6" s="47"/>
      <c r="C6" s="47"/>
      <c r="D6" s="58" t="s">
        <v>56</v>
      </c>
      <c r="E6" s="47"/>
      <c r="F6" s="47"/>
      <c r="G6" s="58" t="s">
        <v>57</v>
      </c>
      <c r="H6" s="47"/>
      <c r="I6" s="47"/>
      <c r="J6" s="58" t="s">
        <v>58</v>
      </c>
      <c r="K6" s="47"/>
      <c r="L6" s="47"/>
    </row>
    <row r="8" spans="1:12" ht="18" customHeight="1">
      <c r="A8" s="71" t="s">
        <v>59</v>
      </c>
      <c r="B8" s="47"/>
      <c r="C8" s="47"/>
      <c r="D8" s="71" t="s">
        <v>60</v>
      </c>
      <c r="E8" s="47"/>
      <c r="F8" s="47"/>
      <c r="G8" s="71" t="s">
        <v>61</v>
      </c>
      <c r="H8" s="47"/>
      <c r="I8" s="47"/>
      <c r="J8" s="75" t="s">
        <v>62</v>
      </c>
      <c r="K8" s="47"/>
      <c r="L8" s="47"/>
    </row>
    <row r="9" spans="1:12" ht="34.049999999999997" customHeight="1">
      <c r="A9" s="79">
        <f>EFF</f>
        <v>0</v>
      </c>
      <c r="B9" s="47"/>
      <c r="C9" s="47"/>
      <c r="D9" s="50">
        <f>PCT_F</f>
        <v>0</v>
      </c>
      <c r="E9" s="47"/>
      <c r="F9" s="47"/>
      <c r="G9" s="50">
        <f>PCT_CDI</f>
        <v>0</v>
      </c>
      <c r="H9" s="47"/>
      <c r="I9" s="47"/>
      <c r="J9" s="78">
        <f>PILOTAGE_ESG</f>
        <v>0</v>
      </c>
      <c r="K9" s="47"/>
      <c r="L9" s="47"/>
    </row>
    <row r="10" spans="1:12" ht="15" customHeight="1">
      <c r="A10" s="72" t="s">
        <v>63</v>
      </c>
      <c r="B10" s="47"/>
      <c r="C10" s="47"/>
      <c r="D10" s="72" t="s">
        <v>64</v>
      </c>
      <c r="E10" s="47"/>
      <c r="F10" s="47"/>
      <c r="G10" s="72" t="s">
        <v>65</v>
      </c>
      <c r="H10" s="47"/>
      <c r="I10" s="47"/>
      <c r="J10" s="76" t="s">
        <v>66</v>
      </c>
      <c r="K10" s="47"/>
      <c r="L10" s="47"/>
    </row>
    <row r="12" spans="1:12" ht="22.95" customHeight="1">
      <c r="A12" s="97" t="s">
        <v>557</v>
      </c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</row>
    <row r="13" spans="1:12">
      <c r="A13" s="77" t="s">
        <v>67</v>
      </c>
      <c r="B13" s="42"/>
      <c r="C13" s="42"/>
      <c r="D13" s="42"/>
      <c r="E13" s="42"/>
      <c r="F13" s="54" t="s">
        <v>68</v>
      </c>
      <c r="G13" s="42"/>
      <c r="H13" s="6" t="s">
        <v>69</v>
      </c>
      <c r="I13" s="6" t="s">
        <v>70</v>
      </c>
      <c r="J13" s="6" t="s">
        <v>71</v>
      </c>
      <c r="K13" s="54" t="s">
        <v>72</v>
      </c>
      <c r="L13" s="42"/>
    </row>
    <row r="14" spans="1:12">
      <c r="A14" s="51" t="s">
        <v>73</v>
      </c>
      <c r="B14" s="42"/>
      <c r="C14" s="42"/>
      <c r="D14" s="42"/>
      <c r="E14" s="42"/>
      <c r="F14" s="49">
        <f>GES_RET</f>
        <v>0</v>
      </c>
      <c r="G14" s="42"/>
      <c r="H14" s="7" t="s">
        <v>74</v>
      </c>
      <c r="I14" s="7" t="s">
        <v>75</v>
      </c>
      <c r="J14" s="4"/>
      <c r="K14" s="47"/>
      <c r="L14" s="42"/>
    </row>
    <row r="15" spans="1:12">
      <c r="A15" s="51" t="s">
        <v>76</v>
      </c>
      <c r="B15" s="42"/>
      <c r="C15" s="42"/>
      <c r="D15" s="42"/>
      <c r="E15" s="42"/>
      <c r="F15" s="49">
        <f>SCOPE1_RET</f>
        <v>0</v>
      </c>
      <c r="G15" s="42"/>
      <c r="H15" s="7" t="s">
        <v>74</v>
      </c>
      <c r="I15" s="7" t="s">
        <v>75</v>
      </c>
      <c r="J15" s="4"/>
      <c r="K15" s="47"/>
      <c r="L15" s="42"/>
    </row>
    <row r="16" spans="1:12">
      <c r="A16" s="51" t="s">
        <v>77</v>
      </c>
      <c r="B16" s="42"/>
      <c r="C16" s="42"/>
      <c r="D16" s="42"/>
      <c r="E16" s="42"/>
      <c r="F16" s="49">
        <f>SCOPE2_RET</f>
        <v>0</v>
      </c>
      <c r="G16" s="42"/>
      <c r="H16" s="7" t="s">
        <v>74</v>
      </c>
      <c r="I16" s="7" t="s">
        <v>75</v>
      </c>
      <c r="J16" s="4"/>
      <c r="K16" s="47"/>
      <c r="L16" s="42"/>
    </row>
    <row r="17" spans="1:12">
      <c r="A17" s="51" t="s">
        <v>78</v>
      </c>
      <c r="B17" s="42"/>
      <c r="C17" s="42"/>
      <c r="D17" s="42"/>
      <c r="E17" s="42"/>
      <c r="F17" s="49">
        <f>GES3</f>
        <v>0</v>
      </c>
      <c r="G17" s="42"/>
      <c r="H17" s="7" t="s">
        <v>74</v>
      </c>
      <c r="I17" s="7" t="s">
        <v>79</v>
      </c>
      <c r="J17" s="4"/>
      <c r="K17" s="47"/>
      <c r="L17" s="42"/>
    </row>
    <row r="18" spans="1:12">
      <c r="A18" s="51" t="s">
        <v>80</v>
      </c>
      <c r="B18" s="42"/>
      <c r="C18" s="42"/>
      <c r="D18" s="42"/>
      <c r="E18" s="42"/>
      <c r="F18" s="49">
        <f>IFERROR(GES_RET/(CA/1000000),0)</f>
        <v>0</v>
      </c>
      <c r="G18" s="42"/>
      <c r="H18" s="7" t="s">
        <v>81</v>
      </c>
      <c r="I18" s="7" t="s">
        <v>82</v>
      </c>
      <c r="J18" s="4"/>
      <c r="K18" s="47"/>
      <c r="L18" s="42"/>
    </row>
    <row r="19" spans="1:12">
      <c r="A19" s="51" t="s">
        <v>83</v>
      </c>
      <c r="B19" s="42"/>
      <c r="C19" s="42"/>
      <c r="D19" s="42"/>
      <c r="E19" s="42"/>
      <c r="F19" s="61">
        <f>IFERROR(GES_RET/ETP,0)</f>
        <v>0</v>
      </c>
      <c r="G19" s="42"/>
      <c r="H19" s="7" t="s">
        <v>84</v>
      </c>
      <c r="I19" s="7" t="s">
        <v>82</v>
      </c>
      <c r="J19" s="4"/>
      <c r="K19" s="47"/>
      <c r="L19" s="42"/>
    </row>
    <row r="20" spans="1:12">
      <c r="A20" s="51" t="s">
        <v>53</v>
      </c>
      <c r="B20" s="42"/>
      <c r="C20" s="42"/>
      <c r="D20" s="42"/>
      <c r="E20" s="42"/>
      <c r="F20" s="49">
        <f>ENER_MWH</f>
        <v>0</v>
      </c>
      <c r="G20" s="42"/>
      <c r="H20" s="7" t="s">
        <v>57</v>
      </c>
      <c r="I20" s="7" t="s">
        <v>75</v>
      </c>
      <c r="J20" s="4"/>
      <c r="K20" s="47"/>
      <c r="L20" s="42"/>
    </row>
    <row r="21" spans="1:12">
      <c r="A21" s="51" t="s">
        <v>85</v>
      </c>
      <c r="B21" s="42"/>
      <c r="C21" s="42"/>
      <c r="D21" s="42"/>
      <c r="E21" s="42"/>
      <c r="F21" s="49">
        <f>IFERROR(ENER_MWH/(CA/1000000),0)</f>
        <v>0</v>
      </c>
      <c r="G21" s="42"/>
      <c r="H21" s="7" t="s">
        <v>86</v>
      </c>
      <c r="I21" s="7" t="s">
        <v>82</v>
      </c>
      <c r="J21" s="4"/>
      <c r="K21" s="47"/>
      <c r="L21" s="42"/>
    </row>
    <row r="22" spans="1:12">
      <c r="A22" s="51" t="s">
        <v>87</v>
      </c>
      <c r="B22" s="42"/>
      <c r="C22" s="42"/>
      <c r="D22" s="42"/>
      <c r="E22" s="42"/>
      <c r="F22" s="68">
        <f>M_ELEC_RENOUV</f>
        <v>0</v>
      </c>
      <c r="G22" s="42"/>
      <c r="H22" s="7" t="s">
        <v>88</v>
      </c>
      <c r="I22" s="7" t="s">
        <v>89</v>
      </c>
      <c r="J22" s="4"/>
      <c r="K22" s="47"/>
      <c r="L22" s="42"/>
    </row>
    <row r="23" spans="1:12">
      <c r="A23" s="51" t="s">
        <v>90</v>
      </c>
      <c r="B23" s="42"/>
      <c r="C23" s="42"/>
      <c r="D23" s="42"/>
      <c r="E23" s="42"/>
      <c r="F23" s="48">
        <f>EAU_PRELEV_RET</f>
        <v>0</v>
      </c>
      <c r="G23" s="42"/>
      <c r="H23" s="7" t="s">
        <v>58</v>
      </c>
      <c r="I23" s="7" t="s">
        <v>91</v>
      </c>
      <c r="J23" s="4"/>
      <c r="K23" s="47"/>
      <c r="L23" s="42"/>
    </row>
    <row r="24" spans="1:12">
      <c r="A24" s="51" t="s">
        <v>54</v>
      </c>
      <c r="B24" s="42"/>
      <c r="C24" s="42"/>
      <c r="D24" s="42"/>
      <c r="E24" s="42"/>
      <c r="F24" s="48">
        <f>EAU_M3</f>
        <v>0</v>
      </c>
      <c r="G24" s="42"/>
      <c r="H24" s="7" t="s">
        <v>58</v>
      </c>
      <c r="I24" s="7" t="s">
        <v>91</v>
      </c>
      <c r="J24" s="4"/>
      <c r="K24" s="47"/>
      <c r="L24" s="42"/>
    </row>
    <row r="25" spans="1:12">
      <c r="A25" s="51" t="s">
        <v>92</v>
      </c>
      <c r="B25" s="42"/>
      <c r="C25" s="42"/>
      <c r="D25" s="42"/>
      <c r="E25" s="42"/>
      <c r="F25" s="48">
        <f>IFERROR(EAU_M3/(CA/1000000),0)</f>
        <v>0</v>
      </c>
      <c r="G25" s="42"/>
      <c r="H25" s="7" t="s">
        <v>93</v>
      </c>
      <c r="I25" s="7" t="s">
        <v>82</v>
      </c>
      <c r="J25" s="4"/>
      <c r="K25" s="47"/>
      <c r="L25" s="42"/>
    </row>
    <row r="26" spans="1:12">
      <c r="A26" s="51" t="s">
        <v>94</v>
      </c>
      <c r="B26" s="42"/>
      <c r="C26" s="42"/>
      <c r="D26" s="42"/>
      <c r="E26" s="42"/>
      <c r="F26" s="49">
        <f>DECHET_T</f>
        <v>0</v>
      </c>
      <c r="G26" s="42"/>
      <c r="H26" s="7" t="s">
        <v>95</v>
      </c>
      <c r="I26" s="7" t="s">
        <v>89</v>
      </c>
      <c r="J26" s="4"/>
      <c r="K26" s="47"/>
      <c r="L26" s="42"/>
    </row>
    <row r="27" spans="1:12">
      <c r="A27" s="51" t="s">
        <v>96</v>
      </c>
      <c r="B27" s="42"/>
      <c r="C27" s="42"/>
      <c r="D27" s="42"/>
      <c r="E27" s="42"/>
      <c r="F27" s="49">
        <f>M_DECHET_DANGEREUX</f>
        <v>0</v>
      </c>
      <c r="G27" s="42"/>
      <c r="H27" s="7" t="s">
        <v>95</v>
      </c>
      <c r="I27" s="7" t="s">
        <v>89</v>
      </c>
      <c r="J27" s="4"/>
      <c r="K27" s="47"/>
      <c r="L27" s="42"/>
    </row>
    <row r="28" spans="1:12">
      <c r="A28" s="51" t="s">
        <v>97</v>
      </c>
      <c r="B28" s="42"/>
      <c r="C28" s="42"/>
      <c r="D28" s="42"/>
      <c r="E28" s="42"/>
      <c r="F28" s="68">
        <f>M_DECHET_VALOR</f>
        <v>0</v>
      </c>
      <c r="G28" s="42"/>
      <c r="H28" s="7" t="s">
        <v>88</v>
      </c>
      <c r="I28" s="7" t="s">
        <v>89</v>
      </c>
      <c r="J28" s="4"/>
      <c r="K28" s="47"/>
      <c r="L28" s="42"/>
    </row>
    <row r="29" spans="1:12">
      <c r="A29" s="51" t="s">
        <v>98</v>
      </c>
      <c r="B29" s="42"/>
      <c r="C29" s="42"/>
      <c r="D29" s="42"/>
      <c r="E29" s="42"/>
      <c r="F29" s="48">
        <f>IFERROR(DECHET_T*1000/(CA/1000000),0)</f>
        <v>0</v>
      </c>
      <c r="G29" s="42"/>
      <c r="H29" s="7" t="s">
        <v>99</v>
      </c>
      <c r="I29" s="7" t="s">
        <v>82</v>
      </c>
      <c r="J29" s="4"/>
      <c r="K29" s="47"/>
      <c r="L29" s="42"/>
    </row>
    <row r="31" spans="1:12" ht="22.95" customHeight="1">
      <c r="A31" s="98" t="s">
        <v>558</v>
      </c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</row>
    <row r="32" spans="1:12">
      <c r="A32" s="69" t="s">
        <v>67</v>
      </c>
      <c r="B32" s="42"/>
      <c r="C32" s="42"/>
      <c r="D32" s="42"/>
      <c r="E32" s="42"/>
      <c r="F32" s="64" t="s">
        <v>68</v>
      </c>
      <c r="G32" s="42"/>
      <c r="H32" s="8" t="s">
        <v>69</v>
      </c>
      <c r="I32" s="8" t="s">
        <v>70</v>
      </c>
      <c r="J32" s="8" t="s">
        <v>71</v>
      </c>
      <c r="K32" s="64" t="s">
        <v>72</v>
      </c>
      <c r="L32" s="42"/>
    </row>
    <row r="33" spans="1:12">
      <c r="A33" s="46" t="s">
        <v>59</v>
      </c>
      <c r="B33" s="42"/>
      <c r="C33" s="42"/>
      <c r="D33" s="42"/>
      <c r="E33" s="42"/>
      <c r="F33" s="62">
        <f>EFF</f>
        <v>0</v>
      </c>
      <c r="G33" s="42"/>
      <c r="H33" s="7" t="s">
        <v>63</v>
      </c>
      <c r="I33" s="7" t="s">
        <v>100</v>
      </c>
      <c r="J33" s="4"/>
      <c r="K33" s="47"/>
      <c r="L33" s="42"/>
    </row>
    <row r="34" spans="1:12">
      <c r="A34" s="46" t="s">
        <v>101</v>
      </c>
      <c r="B34" s="42"/>
      <c r="C34" s="42"/>
      <c r="D34" s="42"/>
      <c r="E34" s="42"/>
      <c r="F34" s="62">
        <f>ETP</f>
        <v>0</v>
      </c>
      <c r="G34" s="42"/>
      <c r="H34" s="7" t="s">
        <v>102</v>
      </c>
      <c r="I34" s="7" t="s">
        <v>100</v>
      </c>
      <c r="J34" s="4"/>
      <c r="K34" s="47"/>
      <c r="L34" s="42"/>
    </row>
    <row r="35" spans="1:12">
      <c r="A35" s="46" t="s">
        <v>103</v>
      </c>
      <c r="B35" s="42"/>
      <c r="C35" s="42"/>
      <c r="D35" s="42"/>
      <c r="E35" s="42"/>
      <c r="F35" s="62">
        <f>IFERROR(ETP/(CA/1000000),0)</f>
        <v>0</v>
      </c>
      <c r="G35" s="42"/>
      <c r="H35" s="7" t="s">
        <v>104</v>
      </c>
      <c r="I35" s="7" t="s">
        <v>82</v>
      </c>
      <c r="J35" s="4"/>
      <c r="K35" s="47"/>
      <c r="L35" s="42"/>
    </row>
    <row r="36" spans="1:12">
      <c r="A36" s="46" t="s">
        <v>105</v>
      </c>
      <c r="B36" s="42"/>
      <c r="C36" s="42"/>
      <c r="D36" s="42"/>
      <c r="E36" s="42"/>
      <c r="F36" s="67">
        <f>PCT_F</f>
        <v>0</v>
      </c>
      <c r="G36" s="42"/>
      <c r="H36" s="7" t="s">
        <v>88</v>
      </c>
      <c r="I36" s="7" t="s">
        <v>100</v>
      </c>
      <c r="J36" s="4"/>
      <c r="K36" s="47"/>
      <c r="L36" s="42"/>
    </row>
    <row r="37" spans="1:12">
      <c r="A37" s="46" t="s">
        <v>36</v>
      </c>
      <c r="B37" s="42"/>
      <c r="C37" s="42"/>
      <c r="D37" s="42"/>
      <c r="E37" s="42"/>
      <c r="F37" s="67">
        <f>M_FEMMES_CADRES</f>
        <v>0</v>
      </c>
      <c r="G37" s="42"/>
      <c r="H37" s="7" t="s">
        <v>88</v>
      </c>
      <c r="I37" s="7" t="s">
        <v>89</v>
      </c>
      <c r="J37" s="9">
        <f>M_OBJ_FEMMES</f>
        <v>0</v>
      </c>
      <c r="K37" s="59" t="str">
        <f>IF(M_OBJ_FEMMES=0,"",M_FEMMES_CADRES-M_OBJ_FEMMES)</f>
        <v/>
      </c>
      <c r="L37" s="42"/>
    </row>
    <row r="38" spans="1:12">
      <c r="A38" s="46" t="s">
        <v>106</v>
      </c>
      <c r="B38" s="42"/>
      <c r="C38" s="42"/>
      <c r="D38" s="42"/>
      <c r="E38" s="42"/>
      <c r="F38" s="67">
        <f>PCT_CDI</f>
        <v>0</v>
      </c>
      <c r="G38" s="42"/>
      <c r="H38" s="7" t="s">
        <v>88</v>
      </c>
      <c r="I38" s="7" t="s">
        <v>100</v>
      </c>
      <c r="J38" s="4"/>
      <c r="K38" s="47"/>
      <c r="L38" s="42"/>
    </row>
    <row r="39" spans="1:12">
      <c r="A39" s="46" t="s">
        <v>107</v>
      </c>
      <c r="B39" s="42"/>
      <c r="C39" s="42"/>
      <c r="D39" s="42"/>
      <c r="E39" s="42"/>
      <c r="F39" s="67">
        <f>PCT_CONV</f>
        <v>0</v>
      </c>
      <c r="G39" s="42"/>
      <c r="H39" s="7" t="s">
        <v>88</v>
      </c>
      <c r="I39" s="7" t="s">
        <v>100</v>
      </c>
      <c r="J39" s="4"/>
      <c r="K39" s="47"/>
      <c r="L39" s="42"/>
    </row>
    <row r="40" spans="1:12">
      <c r="A40" s="46" t="s">
        <v>108</v>
      </c>
      <c r="B40" s="42"/>
      <c r="C40" s="42"/>
      <c r="D40" s="42"/>
      <c r="E40" s="42"/>
      <c r="F40" s="67">
        <f>ECART_REMU</f>
        <v>0</v>
      </c>
      <c r="G40" s="42"/>
      <c r="H40" s="7" t="s">
        <v>88</v>
      </c>
      <c r="I40" s="7" t="s">
        <v>100</v>
      </c>
      <c r="J40" s="4"/>
      <c r="K40" s="47"/>
      <c r="L40" s="42"/>
    </row>
    <row r="41" spans="1:12">
      <c r="A41" s="46" t="s">
        <v>109</v>
      </c>
      <c r="B41" s="42"/>
      <c r="C41" s="42"/>
      <c r="D41" s="42"/>
      <c r="E41" s="42"/>
      <c r="F41" s="67">
        <f>PCT_SMIC</f>
        <v>0</v>
      </c>
      <c r="G41" s="42"/>
      <c r="H41" s="7" t="s">
        <v>88</v>
      </c>
      <c r="I41" s="7" t="s">
        <v>100</v>
      </c>
      <c r="J41" s="4"/>
      <c r="K41" s="47"/>
      <c r="L41" s="42"/>
    </row>
    <row r="42" spans="1:12">
      <c r="A42" s="46" t="s">
        <v>110</v>
      </c>
      <c r="B42" s="42"/>
      <c r="C42" s="42"/>
      <c r="D42" s="42"/>
      <c r="E42" s="42"/>
      <c r="F42" s="62">
        <f>AGE</f>
        <v>0</v>
      </c>
      <c r="G42" s="42"/>
      <c r="H42" s="7" t="s">
        <v>111</v>
      </c>
      <c r="I42" s="7" t="s">
        <v>100</v>
      </c>
      <c r="J42" s="4"/>
      <c r="K42" s="47"/>
      <c r="L42" s="42"/>
    </row>
    <row r="43" spans="1:12">
      <c r="A43" s="46" t="s">
        <v>112</v>
      </c>
      <c r="B43" s="42"/>
      <c r="C43" s="42"/>
      <c r="D43" s="42"/>
      <c r="E43" s="42"/>
      <c r="F43" s="56">
        <f>MASSE_SAL</f>
        <v>0</v>
      </c>
      <c r="G43" s="42"/>
      <c r="H43" s="7" t="s">
        <v>113</v>
      </c>
      <c r="I43" s="7" t="s">
        <v>79</v>
      </c>
      <c r="J43" s="4"/>
      <c r="K43" s="47"/>
      <c r="L43" s="42"/>
    </row>
    <row r="44" spans="1:12">
      <c r="A44" s="46" t="s">
        <v>114</v>
      </c>
      <c r="B44" s="42"/>
      <c r="C44" s="42"/>
      <c r="D44" s="42"/>
      <c r="E44" s="42"/>
      <c r="F44" s="67">
        <f>IFERROR(MASSE_SAL/CA,0)</f>
        <v>0</v>
      </c>
      <c r="G44" s="42"/>
      <c r="H44" s="7" t="s">
        <v>88</v>
      </c>
      <c r="I44" s="7" t="s">
        <v>82</v>
      </c>
      <c r="J44" s="4"/>
      <c r="K44" s="47"/>
      <c r="L44" s="42"/>
    </row>
    <row r="45" spans="1:12">
      <c r="A45" s="46" t="s">
        <v>115</v>
      </c>
      <c r="B45" s="42"/>
      <c r="C45" s="42"/>
      <c r="D45" s="42"/>
      <c r="E45" s="42"/>
      <c r="F45" s="62">
        <f>IFERROR(M_FORM_HEURES/EFF,0)</f>
        <v>0</v>
      </c>
      <c r="G45" s="42"/>
      <c r="H45" s="7" t="s">
        <v>116</v>
      </c>
      <c r="I45" s="7" t="s">
        <v>89</v>
      </c>
      <c r="J45" s="10">
        <f>M_OBJ_FORM</f>
        <v>0</v>
      </c>
      <c r="K45" s="73" t="str">
        <f>IF(M_OBJ_FORM=0,"",IFERROR(M_FORM_HEURES/EFF,0)-M_OBJ_FORM)</f>
        <v/>
      </c>
      <c r="L45" s="42"/>
    </row>
    <row r="46" spans="1:12">
      <c r="A46" s="46" t="s">
        <v>117</v>
      </c>
      <c r="B46" s="42"/>
      <c r="C46" s="42"/>
      <c r="D46" s="42"/>
      <c r="E46" s="42"/>
      <c r="F46" s="67">
        <f>IFERROR(M_ABSENCE_JOURS/(EFF*228),0)</f>
        <v>0</v>
      </c>
      <c r="G46" s="42"/>
      <c r="H46" s="7" t="s">
        <v>88</v>
      </c>
      <c r="I46" s="7" t="s">
        <v>89</v>
      </c>
      <c r="J46" s="4"/>
      <c r="K46" s="47"/>
      <c r="L46" s="42"/>
    </row>
    <row r="47" spans="1:12">
      <c r="A47" s="46" t="s">
        <v>118</v>
      </c>
      <c r="B47" s="42"/>
      <c r="C47" s="42"/>
      <c r="D47" s="42"/>
      <c r="E47" s="42"/>
      <c r="F47" s="66">
        <f>M_AT</f>
        <v>0</v>
      </c>
      <c r="G47" s="42"/>
      <c r="H47" s="7" t="s">
        <v>119</v>
      </c>
      <c r="I47" s="7" t="s">
        <v>89</v>
      </c>
      <c r="J47" s="4"/>
      <c r="K47" s="47"/>
      <c r="L47" s="42"/>
    </row>
    <row r="48" spans="1:12">
      <c r="A48" s="46" t="s">
        <v>120</v>
      </c>
      <c r="B48" s="42"/>
      <c r="C48" s="42"/>
      <c r="D48" s="42"/>
      <c r="E48" s="42"/>
      <c r="F48" s="66">
        <f>M_AT_DECES</f>
        <v>0</v>
      </c>
      <c r="G48" s="42"/>
      <c r="H48" s="7" t="s">
        <v>119</v>
      </c>
      <c r="I48" s="7" t="s">
        <v>89</v>
      </c>
      <c r="J48" s="4"/>
      <c r="K48" s="47"/>
      <c r="L48" s="42"/>
    </row>
    <row r="49" spans="1:12">
      <c r="A49" s="46" t="s">
        <v>121</v>
      </c>
      <c r="B49" s="42"/>
      <c r="C49" s="42"/>
      <c r="D49" s="42"/>
      <c r="E49" s="42"/>
      <c r="F49" s="67">
        <f>IFERROR((M_TURN_DEP+M_TURN_ARR)/2/EFF,0)</f>
        <v>0</v>
      </c>
      <c r="G49" s="42"/>
      <c r="H49" s="7" t="s">
        <v>88</v>
      </c>
      <c r="I49" s="7" t="s">
        <v>89</v>
      </c>
      <c r="J49" s="4"/>
      <c r="K49" s="47"/>
      <c r="L49" s="42"/>
    </row>
    <row r="51" spans="1:12" ht="22.95" customHeight="1">
      <c r="A51" s="99" t="s">
        <v>559</v>
      </c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</row>
    <row r="52" spans="1:12">
      <c r="A52" s="57" t="s">
        <v>67</v>
      </c>
      <c r="B52" s="42"/>
      <c r="C52" s="42"/>
      <c r="D52" s="42"/>
      <c r="E52" s="42"/>
      <c r="F52" s="52" t="s">
        <v>68</v>
      </c>
      <c r="G52" s="42"/>
      <c r="H52" s="11" t="s">
        <v>69</v>
      </c>
      <c r="I52" s="11" t="s">
        <v>70</v>
      </c>
      <c r="J52" s="11" t="s">
        <v>71</v>
      </c>
      <c r="K52" s="52" t="s">
        <v>72</v>
      </c>
      <c r="L52" s="42"/>
    </row>
    <row r="53" spans="1:12">
      <c r="A53" s="53" t="s">
        <v>122</v>
      </c>
      <c r="B53" s="42"/>
      <c r="C53" s="42"/>
      <c r="D53" s="42"/>
      <c r="E53" s="42"/>
      <c r="F53" s="55">
        <f>PILOTAGE_ESG</f>
        <v>0</v>
      </c>
      <c r="G53" s="42"/>
      <c r="H53" s="7" t="s">
        <v>113</v>
      </c>
      <c r="I53" s="7" t="s">
        <v>79</v>
      </c>
      <c r="J53" s="4"/>
      <c r="K53" s="47"/>
      <c r="L53" s="42"/>
    </row>
    <row r="54" spans="1:12">
      <c r="A54" s="53" t="s">
        <v>123</v>
      </c>
      <c r="B54" s="42"/>
      <c r="C54" s="42"/>
      <c r="D54" s="42"/>
      <c r="E54" s="42"/>
      <c r="F54" s="55">
        <f>DONS</f>
        <v>0</v>
      </c>
      <c r="G54" s="42"/>
      <c r="H54" s="7" t="s">
        <v>113</v>
      </c>
      <c r="I54" s="7" t="s">
        <v>79</v>
      </c>
      <c r="J54" s="4"/>
      <c r="K54" s="47"/>
      <c r="L54" s="42"/>
    </row>
    <row r="55" spans="1:12">
      <c r="A55" s="53" t="s">
        <v>124</v>
      </c>
      <c r="B55" s="42"/>
      <c r="C55" s="42"/>
      <c r="D55" s="42"/>
      <c r="E55" s="42"/>
      <c r="F55" s="55">
        <f>FISCAL</f>
        <v>0</v>
      </c>
      <c r="G55" s="42"/>
      <c r="H55" s="7" t="s">
        <v>113</v>
      </c>
      <c r="I55" s="7" t="s">
        <v>79</v>
      </c>
      <c r="J55" s="4"/>
      <c r="K55" s="47"/>
      <c r="L55" s="42"/>
    </row>
    <row r="56" spans="1:12">
      <c r="A56" s="53" t="s">
        <v>125</v>
      </c>
      <c r="B56" s="42"/>
      <c r="C56" s="42"/>
      <c r="D56" s="42"/>
      <c r="E56" s="42"/>
      <c r="F56" s="55">
        <f>CHARGES_SOC</f>
        <v>0</v>
      </c>
      <c r="G56" s="42"/>
      <c r="H56" s="7" t="s">
        <v>113</v>
      </c>
      <c r="I56" s="7" t="s">
        <v>79</v>
      </c>
      <c r="J56" s="4"/>
      <c r="K56" s="47"/>
      <c r="L56" s="42"/>
    </row>
    <row r="57" spans="1:12">
      <c r="A57" s="53" t="s">
        <v>45</v>
      </c>
      <c r="B57" s="42"/>
      <c r="C57" s="42"/>
      <c r="D57" s="42"/>
      <c r="E57" s="42"/>
      <c r="F57" s="60">
        <f>M_ACHAT_LOCAL</f>
        <v>0</v>
      </c>
      <c r="G57" s="42"/>
      <c r="H57" s="7" t="s">
        <v>88</v>
      </c>
      <c r="I57" s="7" t="s">
        <v>89</v>
      </c>
      <c r="J57" s="4"/>
      <c r="K57" s="47"/>
      <c r="L57" s="42"/>
    </row>
    <row r="58" spans="1:12">
      <c r="A58" s="53" t="s">
        <v>126</v>
      </c>
      <c r="B58" s="42"/>
      <c r="C58" s="42"/>
      <c r="D58" s="42"/>
      <c r="E58" s="42"/>
      <c r="F58" s="80">
        <f>M_CONDAMNATIONS</f>
        <v>0</v>
      </c>
      <c r="G58" s="42"/>
      <c r="H58" s="7" t="s">
        <v>119</v>
      </c>
      <c r="I58" s="7" t="s">
        <v>89</v>
      </c>
      <c r="J58" s="4"/>
      <c r="K58" s="47"/>
      <c r="L58" s="42"/>
    </row>
    <row r="59" spans="1:12">
      <c r="A59" s="53" t="s">
        <v>127</v>
      </c>
      <c r="B59" s="42"/>
      <c r="C59" s="42"/>
      <c r="D59" s="42"/>
      <c r="E59" s="42"/>
      <c r="F59" s="55">
        <f>M_AMENDES</f>
        <v>0</v>
      </c>
      <c r="G59" s="42"/>
      <c r="H59" s="7" t="s">
        <v>113</v>
      </c>
      <c r="I59" s="7" t="s">
        <v>89</v>
      </c>
      <c r="J59" s="4"/>
      <c r="K59" s="47"/>
      <c r="L59" s="42"/>
    </row>
    <row r="62" spans="1:12" ht="22.95" customHeight="1">
      <c r="A62" s="45" t="s">
        <v>128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</row>
    <row r="79" spans="1:12">
      <c r="A79" s="74"/>
      <c r="B79" s="42"/>
      <c r="C79" s="42"/>
      <c r="D79" s="42"/>
      <c r="E79" s="42"/>
      <c r="F79" s="42"/>
      <c r="G79" s="42"/>
      <c r="H79" s="42"/>
      <c r="I79" s="42"/>
      <c r="J79" s="42"/>
      <c r="K79" s="42"/>
      <c r="L79" s="42"/>
    </row>
    <row r="80" spans="1:12">
      <c r="A80" s="42"/>
      <c r="B80" s="42"/>
      <c r="C80" s="42"/>
      <c r="D80" s="42"/>
      <c r="E80" s="42"/>
      <c r="F80" s="42"/>
      <c r="G80" s="42"/>
      <c r="H80" s="42"/>
      <c r="I80" s="42"/>
      <c r="J80" s="42"/>
      <c r="K80" s="42"/>
      <c r="L80" s="42"/>
    </row>
  </sheetData>
  <mergeCells count="160">
    <mergeCell ref="A1:L1"/>
    <mergeCell ref="A19:E19"/>
    <mergeCell ref="F44:G44"/>
    <mergeCell ref="A62:L62"/>
    <mergeCell ref="A10:C10"/>
    <mergeCell ref="K59:L59"/>
    <mergeCell ref="F38:G38"/>
    <mergeCell ref="A33:E33"/>
    <mergeCell ref="A9:C9"/>
    <mergeCell ref="K39:L39"/>
    <mergeCell ref="K14:L14"/>
    <mergeCell ref="A17:E17"/>
    <mergeCell ref="F27:G27"/>
    <mergeCell ref="K48:L48"/>
    <mergeCell ref="F52:G52"/>
    <mergeCell ref="D10:F10"/>
    <mergeCell ref="F58:G58"/>
    <mergeCell ref="A53:E53"/>
    <mergeCell ref="F37:G37"/>
    <mergeCell ref="A35:E35"/>
    <mergeCell ref="K38:L38"/>
    <mergeCell ref="F59:G59"/>
    <mergeCell ref="F55:G55"/>
    <mergeCell ref="K20:L20"/>
    <mergeCell ref="F24:G24"/>
    <mergeCell ref="A54:E54"/>
    <mergeCell ref="A8:C8"/>
    <mergeCell ref="D4:F4"/>
    <mergeCell ref="A41:E41"/>
    <mergeCell ref="F32:G32"/>
    <mergeCell ref="K22:L22"/>
    <mergeCell ref="F26:G26"/>
    <mergeCell ref="F41:G41"/>
    <mergeCell ref="A56:E56"/>
    <mergeCell ref="A27:E27"/>
    <mergeCell ref="F35:G35"/>
    <mergeCell ref="A79:L80"/>
    <mergeCell ref="A18:E18"/>
    <mergeCell ref="A42:E42"/>
    <mergeCell ref="A47:E47"/>
    <mergeCell ref="J8:L8"/>
    <mergeCell ref="F22:G22"/>
    <mergeCell ref="K23:L23"/>
    <mergeCell ref="A22:E22"/>
    <mergeCell ref="A20:E20"/>
    <mergeCell ref="J10:L10"/>
    <mergeCell ref="A51:L51"/>
    <mergeCell ref="A28:E28"/>
    <mergeCell ref="F49:G49"/>
    <mergeCell ref="K57:L57"/>
    <mergeCell ref="F14:G14"/>
    <mergeCell ref="A13:E13"/>
    <mergeCell ref="J9:L9"/>
    <mergeCell ref="A44:E44"/>
    <mergeCell ref="K18:L18"/>
    <mergeCell ref="A59:E59"/>
    <mergeCell ref="K34:L34"/>
    <mergeCell ref="A15:E15"/>
    <mergeCell ref="K36:L36"/>
    <mergeCell ref="F40:G40"/>
    <mergeCell ref="J6:L6"/>
    <mergeCell ref="K25:L25"/>
    <mergeCell ref="G10:I10"/>
    <mergeCell ref="A24:E24"/>
    <mergeCell ref="J4:L4"/>
    <mergeCell ref="K45:L45"/>
    <mergeCell ref="K54:L54"/>
    <mergeCell ref="F21:G21"/>
    <mergeCell ref="A2:L2"/>
    <mergeCell ref="K29:L29"/>
    <mergeCell ref="F53:G53"/>
    <mergeCell ref="A16:E16"/>
    <mergeCell ref="G5:I5"/>
    <mergeCell ref="K47:L47"/>
    <mergeCell ref="A25:E25"/>
    <mergeCell ref="K44:L44"/>
    <mergeCell ref="F36:G36"/>
    <mergeCell ref="K46:L46"/>
    <mergeCell ref="D8:F8"/>
    <mergeCell ref="K40:L40"/>
    <mergeCell ref="D6:F6"/>
    <mergeCell ref="A5:C5"/>
    <mergeCell ref="K32:L32"/>
    <mergeCell ref="F20:G20"/>
    <mergeCell ref="F18:G18"/>
    <mergeCell ref="F33:G33"/>
    <mergeCell ref="K41:L41"/>
    <mergeCell ref="F45:G45"/>
    <mergeCell ref="G4:I4"/>
    <mergeCell ref="F42:G42"/>
    <mergeCell ref="A4:C4"/>
    <mergeCell ref="F17:G17"/>
    <mergeCell ref="K43:L43"/>
    <mergeCell ref="D5:F5"/>
    <mergeCell ref="K27:L27"/>
    <mergeCell ref="A31:L31"/>
    <mergeCell ref="F28:G28"/>
    <mergeCell ref="A32:E32"/>
    <mergeCell ref="A14:E14"/>
    <mergeCell ref="K17:L17"/>
    <mergeCell ref="J5:L5"/>
    <mergeCell ref="F39:G39"/>
    <mergeCell ref="A29:E29"/>
    <mergeCell ref="A38:E38"/>
    <mergeCell ref="G8:I8"/>
    <mergeCell ref="A6:C6"/>
    <mergeCell ref="K28:L28"/>
    <mergeCell ref="K37:L37"/>
    <mergeCell ref="K13:L13"/>
    <mergeCell ref="F57:G57"/>
    <mergeCell ref="A34:E34"/>
    <mergeCell ref="G6:I6"/>
    <mergeCell ref="F54:G54"/>
    <mergeCell ref="K15:L15"/>
    <mergeCell ref="F19:G19"/>
    <mergeCell ref="F34:G34"/>
    <mergeCell ref="A49:E49"/>
    <mergeCell ref="A36:E36"/>
    <mergeCell ref="K55:L55"/>
    <mergeCell ref="A12:L12"/>
    <mergeCell ref="K21:L21"/>
    <mergeCell ref="K56:L56"/>
    <mergeCell ref="A55:E55"/>
    <mergeCell ref="F47:G47"/>
    <mergeCell ref="F46:G46"/>
    <mergeCell ref="F48:G48"/>
    <mergeCell ref="K19:L19"/>
    <mergeCell ref="A40:E40"/>
    <mergeCell ref="K16:L16"/>
    <mergeCell ref="F15:G15"/>
    <mergeCell ref="D9:F9"/>
    <mergeCell ref="A37:E37"/>
    <mergeCell ref="A46:E46"/>
    <mergeCell ref="K58:L58"/>
    <mergeCell ref="A21:E21"/>
    <mergeCell ref="K52:L52"/>
    <mergeCell ref="A26:E26"/>
    <mergeCell ref="A57:E57"/>
    <mergeCell ref="F23:G23"/>
    <mergeCell ref="K42:L42"/>
    <mergeCell ref="G9:I9"/>
    <mergeCell ref="A23:E23"/>
    <mergeCell ref="F13:G13"/>
    <mergeCell ref="F56:G56"/>
    <mergeCell ref="F43:G43"/>
    <mergeCell ref="K53:L53"/>
    <mergeCell ref="A43:E43"/>
    <mergeCell ref="A52:E52"/>
    <mergeCell ref="A58:E58"/>
    <mergeCell ref="A39:E39"/>
    <mergeCell ref="K49:L49"/>
    <mergeCell ref="A48:E48"/>
    <mergeCell ref="F29:G29"/>
    <mergeCell ref="F16:G16"/>
    <mergeCell ref="K24:L24"/>
    <mergeCell ref="F25:G25"/>
    <mergeCell ref="K33:L33"/>
    <mergeCell ref="A45:E45"/>
    <mergeCell ref="K26:L26"/>
    <mergeCell ref="K35:L35"/>
  </mergeCells>
  <printOptions horizontalCentered="1"/>
  <pageMargins left="0.3" right="0.3" top="0.4" bottom="0.4" header="0.5" footer="0.5"/>
  <pageSetup fitToHeight="0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5D6D7E"/>
  </sheetPr>
  <dimension ref="A1:R4"/>
  <sheetViews>
    <sheetView showGridLines="0" workbookViewId="0">
      <pane ySplit="4" topLeftCell="A5" activePane="bottomLeft" state="frozen"/>
      <selection pane="bottomLeft" activeCell="G13" sqref="G13"/>
    </sheetView>
  </sheetViews>
  <sheetFormatPr defaultRowHeight="13.8"/>
  <cols>
    <col min="1" max="18" width="14" customWidth="1"/>
  </cols>
  <sheetData>
    <row r="1" spans="1:18" ht="30" customHeight="1">
      <c r="A1" s="93" t="s">
        <v>579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</row>
    <row r="2" spans="1:18" ht="15" customHeight="1">
      <c r="A2" s="110"/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</row>
    <row r="3" spans="1:18">
      <c r="A3" s="111" t="s">
        <v>577</v>
      </c>
      <c r="C3" s="92"/>
    </row>
    <row r="4" spans="1:18" ht="25.95" customHeight="1">
      <c r="A4" s="12" t="s">
        <v>129</v>
      </c>
      <c r="B4" s="12" t="s">
        <v>130</v>
      </c>
      <c r="C4" s="12" t="s">
        <v>131</v>
      </c>
      <c r="D4" s="12" t="s">
        <v>132</v>
      </c>
      <c r="E4" s="12" t="s">
        <v>133</v>
      </c>
      <c r="F4" s="12" t="s">
        <v>134</v>
      </c>
      <c r="G4" s="12" t="s">
        <v>135</v>
      </c>
      <c r="H4" s="12" t="s">
        <v>136</v>
      </c>
      <c r="I4" s="12" t="s">
        <v>137</v>
      </c>
      <c r="J4" s="12" t="s">
        <v>138</v>
      </c>
      <c r="K4" s="12" t="s">
        <v>139</v>
      </c>
      <c r="L4" s="12" t="s">
        <v>140</v>
      </c>
      <c r="M4" s="12" t="s">
        <v>141</v>
      </c>
      <c r="N4" s="12" t="s">
        <v>142</v>
      </c>
      <c r="O4" s="12" t="s">
        <v>143</v>
      </c>
      <c r="P4" s="12" t="s">
        <v>144</v>
      </c>
      <c r="Q4" s="12" t="s">
        <v>145</v>
      </c>
      <c r="R4" s="12" t="s">
        <v>146</v>
      </c>
    </row>
  </sheetData>
  <mergeCells count="2">
    <mergeCell ref="A2:R2"/>
    <mergeCell ref="A1:R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5D6D7E"/>
  </sheetPr>
  <dimension ref="A1:J4"/>
  <sheetViews>
    <sheetView showGridLines="0" workbookViewId="0">
      <pane ySplit="4" topLeftCell="A5" activePane="bottomLeft" state="frozen"/>
      <selection pane="bottomLeft" activeCell="A3" sqref="A3"/>
    </sheetView>
  </sheetViews>
  <sheetFormatPr defaultRowHeight="13.8"/>
  <cols>
    <col min="1" max="1" width="10" customWidth="1"/>
    <col min="2" max="2" width="24" customWidth="1"/>
    <col min="3" max="3" width="20" customWidth="1"/>
    <col min="4" max="4" width="34" customWidth="1"/>
    <col min="5" max="5" width="26" customWidth="1"/>
  </cols>
  <sheetData>
    <row r="1" spans="1:10" ht="30" customHeight="1">
      <c r="A1" s="93" t="s">
        <v>581</v>
      </c>
      <c r="B1" s="42"/>
      <c r="C1" s="42"/>
      <c r="D1" s="42"/>
      <c r="E1" s="42"/>
      <c r="F1" s="42"/>
      <c r="G1" s="42"/>
      <c r="H1" s="42"/>
      <c r="I1" s="42"/>
      <c r="J1" s="42"/>
    </row>
    <row r="2" spans="1:10" ht="15" customHeight="1">
      <c r="A2" s="110"/>
      <c r="B2" s="95"/>
      <c r="C2" s="95"/>
      <c r="D2" s="95"/>
      <c r="E2" s="95"/>
      <c r="F2" s="95"/>
      <c r="G2" s="95"/>
      <c r="H2" s="95"/>
      <c r="I2" s="95"/>
      <c r="J2" s="95"/>
    </row>
    <row r="3" spans="1:10">
      <c r="A3" s="111" t="s">
        <v>578</v>
      </c>
    </row>
    <row r="4" spans="1:10" ht="19.95" customHeight="1">
      <c r="A4" s="13" t="s">
        <v>147</v>
      </c>
      <c r="B4" s="13" t="s">
        <v>148</v>
      </c>
      <c r="C4" s="13" t="s">
        <v>149</v>
      </c>
      <c r="D4" s="13" t="s">
        <v>68</v>
      </c>
      <c r="E4" s="13" t="s">
        <v>150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5D6D7E"/>
  </sheetPr>
  <dimension ref="A1:W5"/>
  <sheetViews>
    <sheetView showGridLines="0" workbookViewId="0">
      <pane xSplit="1" ySplit="4" topLeftCell="B5" activePane="bottomRight" state="frozen"/>
      <selection pane="topRight"/>
      <selection pane="bottomLeft"/>
      <selection pane="bottomRight" activeCell="B8" sqref="B8"/>
    </sheetView>
  </sheetViews>
  <sheetFormatPr defaultRowHeight="13.8"/>
  <cols>
    <col min="1" max="1" width="11" customWidth="1"/>
    <col min="2" max="2" width="34" customWidth="1"/>
    <col min="3" max="3" width="6" customWidth="1"/>
    <col min="4" max="4" width="7" customWidth="1"/>
    <col min="5" max="7" width="13" customWidth="1"/>
    <col min="8" max="8" width="14" customWidth="1"/>
    <col min="9" max="9" width="13" customWidth="1"/>
    <col min="10" max="10" width="22" customWidth="1"/>
    <col min="11" max="11" width="14" customWidth="1"/>
    <col min="12" max="12" width="16" customWidth="1"/>
    <col min="13" max="13" width="7" customWidth="1"/>
    <col min="14" max="14" width="9" customWidth="1"/>
    <col min="15" max="15" width="7" customWidth="1"/>
    <col min="16" max="16" width="11" customWidth="1"/>
    <col min="17" max="17" width="9" customWidth="1"/>
    <col min="18" max="18" width="11" customWidth="1"/>
    <col min="19" max="20" width="10" customWidth="1"/>
    <col min="21" max="22" width="13" customWidth="1"/>
    <col min="23" max="23" width="12" customWidth="1"/>
  </cols>
  <sheetData>
    <row r="1" spans="1:23" ht="30" customHeight="1">
      <c r="A1" s="93" t="s">
        <v>582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</row>
    <row r="2" spans="1:23" ht="15" customHeight="1">
      <c r="A2" s="41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</row>
    <row r="4" spans="1:23" ht="28.05" customHeight="1">
      <c r="A4" s="112" t="s">
        <v>151</v>
      </c>
      <c r="B4" s="112" t="s">
        <v>152</v>
      </c>
      <c r="C4" s="112" t="s">
        <v>153</v>
      </c>
      <c r="D4" s="112" t="s">
        <v>154</v>
      </c>
      <c r="E4" s="112" t="s">
        <v>155</v>
      </c>
      <c r="F4" s="112" t="s">
        <v>156</v>
      </c>
      <c r="G4" s="112" t="s">
        <v>157</v>
      </c>
      <c r="H4" s="112" t="s">
        <v>158</v>
      </c>
      <c r="I4" s="113" t="s">
        <v>159</v>
      </c>
      <c r="J4" s="114" t="s">
        <v>67</v>
      </c>
      <c r="K4" s="114" t="s">
        <v>160</v>
      </c>
      <c r="L4" s="114" t="s">
        <v>161</v>
      </c>
      <c r="M4" s="114" t="s">
        <v>162</v>
      </c>
      <c r="N4" s="114" t="s">
        <v>163</v>
      </c>
      <c r="O4" s="114" t="s">
        <v>69</v>
      </c>
      <c r="P4" s="114" t="s">
        <v>164</v>
      </c>
      <c r="Q4" s="114" t="s">
        <v>165</v>
      </c>
      <c r="R4" s="114" t="s">
        <v>166</v>
      </c>
      <c r="S4" s="114" t="s">
        <v>167</v>
      </c>
      <c r="T4" s="114" t="s">
        <v>168</v>
      </c>
      <c r="U4" s="115" t="s">
        <v>169</v>
      </c>
      <c r="V4" s="115" t="s">
        <v>170</v>
      </c>
      <c r="W4" s="115" t="s">
        <v>74</v>
      </c>
    </row>
    <row r="5" spans="1:23">
      <c r="A5" s="14"/>
      <c r="B5" s="15"/>
      <c r="C5" s="16" t="str">
        <f>IF($A5="","",LEFT($A5,1))</f>
        <v/>
      </c>
      <c r="D5" s="16" t="str">
        <f>IF($A5="","",LEFT($A5,2))</f>
        <v/>
      </c>
      <c r="E5" s="17"/>
      <c r="F5" s="17"/>
      <c r="G5" s="18" t="str">
        <f>IF($A5="","",$E5-$F5)</f>
        <v/>
      </c>
      <c r="H5" s="18" t="str">
        <f>IF($A5="","",ABS($G5))</f>
        <v/>
      </c>
      <c r="I5" s="14"/>
      <c r="J5" s="19" t="str">
        <f>IF($I5="","",IFERROR(INDEX(P_IND,MATCH($I5,P_PREF,0)),""))</f>
        <v/>
      </c>
      <c r="K5" s="16" t="str">
        <f>IF($I5="","",IFERROR(INDEX(P_PIL,MATCH($I5,P_PREF,0)),""))</f>
        <v/>
      </c>
      <c r="L5" s="19" t="str">
        <f>IF($I5="","",IFERROR(INDEX(P_THE,MATCH($I5,P_PREF,0)),""))</f>
        <v/>
      </c>
      <c r="M5" s="16" t="str">
        <f>IF($I5="","",IFERROR(INDEX(P_ESRS,MATCH($I5,P_PREF,0)),""))</f>
        <v/>
      </c>
      <c r="N5" s="16" t="str">
        <f>IF($I5="","",IFERROR(INDEX(P_SCOPE,MATCH($I5,P_PREF,0)),""))</f>
        <v/>
      </c>
      <c r="O5" s="16" t="str">
        <f>IF($I5="","",IFERROR(INDEX(P_UNIT,MATCH($I5,P_PREF,0)),""))</f>
        <v/>
      </c>
      <c r="P5" s="16" t="str">
        <f>IF($I5="","",IFERROR(INDEX(P_METH,MATCH($I5,P_PREF,0)),""))</f>
        <v/>
      </c>
      <c r="Q5" s="16" t="str">
        <f>IF($I5="","",IFERROR(INDEX(P_TYPE,MATCH($I5,P_PREF,0)),""))</f>
        <v/>
      </c>
      <c r="R5" s="20" t="str">
        <f>IF($I5="","",IFERROR(INDEX(P_FEUR,MATCH($I5,P_PREF,0)),""))</f>
        <v/>
      </c>
      <c r="S5" s="20" t="str">
        <f>IF($I5="","",IFERROR(INDEX(P_FEPH,MATCH($I5,P_PREF,0)),""))</f>
        <v/>
      </c>
      <c r="T5" s="21" t="str">
        <f>IF($I5="","",IFERROR(INDEX(P_FEMO,MATCH($I5,P_PREF,0)),""))</f>
        <v/>
      </c>
      <c r="U5" s="22" t="str">
        <f>IF($P5="PHYSIQUE",IFERROR($H5*$R5,""),"")</f>
        <v/>
      </c>
      <c r="V5" s="22">
        <f>IF($P5="PHYSIQUE",IFERROR($U5*$S5,0),IF($P5="MONETAIRE",IFERROR($H5*$T5,0),0))</f>
        <v>0</v>
      </c>
      <c r="W5" s="23">
        <f>IF($V5="","",IFERROR($V5/1000,0))</f>
        <v>0</v>
      </c>
    </row>
  </sheetData>
  <mergeCells count="2">
    <mergeCell ref="A2:W2"/>
    <mergeCell ref="A1:W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5D6D7E"/>
    <pageSetUpPr fitToPage="1"/>
  </sheetPr>
  <dimension ref="A1:N4"/>
  <sheetViews>
    <sheetView showGridLines="0" workbookViewId="0">
      <pane ySplit="4" topLeftCell="A5" activePane="bottomLeft" state="frozen"/>
      <selection pane="bottomLeft" activeCell="D11" sqref="D11"/>
    </sheetView>
  </sheetViews>
  <sheetFormatPr defaultRowHeight="13.8"/>
  <cols>
    <col min="1" max="1" width="16" customWidth="1"/>
    <col min="2" max="2" width="11" customWidth="1"/>
    <col min="3" max="5" width="10" customWidth="1"/>
    <col min="6" max="7" width="9" customWidth="1"/>
    <col min="8" max="8" width="11" customWidth="1"/>
    <col min="9" max="9" width="13" customWidth="1"/>
    <col min="10" max="10" width="12" customWidth="1"/>
    <col min="11" max="11" width="13" customWidth="1"/>
    <col min="12" max="13" width="14" customWidth="1"/>
    <col min="14" max="14" width="13" customWidth="1"/>
  </cols>
  <sheetData>
    <row r="1" spans="1:14" ht="30" customHeight="1">
      <c r="A1" s="93" t="s">
        <v>583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</row>
    <row r="2" spans="1:14" ht="15" customHeight="1">
      <c r="A2" s="94"/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</row>
    <row r="4" spans="1:14" ht="24" customHeight="1">
      <c r="A4" s="12" t="s">
        <v>147</v>
      </c>
      <c r="B4" s="12" t="s">
        <v>171</v>
      </c>
      <c r="C4" s="12" t="s">
        <v>172</v>
      </c>
      <c r="D4" s="12" t="s">
        <v>173</v>
      </c>
      <c r="E4" s="12" t="s">
        <v>102</v>
      </c>
      <c r="F4" s="12" t="s">
        <v>174</v>
      </c>
      <c r="G4" s="12" t="s">
        <v>175</v>
      </c>
      <c r="H4" s="12" t="s">
        <v>110</v>
      </c>
      <c r="I4" s="12" t="s">
        <v>176</v>
      </c>
      <c r="J4" s="12" t="s">
        <v>164</v>
      </c>
      <c r="K4" s="12" t="s">
        <v>177</v>
      </c>
      <c r="L4" s="12" t="s">
        <v>178</v>
      </c>
      <c r="M4" s="12" t="s">
        <v>179</v>
      </c>
      <c r="N4" s="12" t="s">
        <v>180</v>
      </c>
    </row>
  </sheetData>
  <mergeCells count="2">
    <mergeCell ref="A2:N2"/>
    <mergeCell ref="A1:N1"/>
  </mergeCells>
  <printOptions horizontalCentered="1"/>
  <pageMargins left="0.3" right="0.3" top="0.4" bottom="0.4" header="0.5" footer="0.5"/>
  <pageSetup fitToHeight="0"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5D6D7E"/>
    <pageSetUpPr fitToPage="1"/>
  </sheetPr>
  <dimension ref="A1:F65"/>
  <sheetViews>
    <sheetView showGridLines="0" workbookViewId="0">
      <selection activeCell="E53" sqref="E53"/>
    </sheetView>
  </sheetViews>
  <sheetFormatPr defaultRowHeight="13.8"/>
  <cols>
    <col min="1" max="1" width="40" customWidth="1"/>
    <col min="2" max="2" width="4" customWidth="1"/>
    <col min="3" max="3" width="18" customWidth="1"/>
    <col min="4" max="4" width="4" customWidth="1"/>
    <col min="5" max="5" width="22" customWidth="1"/>
    <col min="6" max="6" width="16" customWidth="1"/>
  </cols>
  <sheetData>
    <row r="1" spans="1:6" ht="30" customHeight="1">
      <c r="A1" s="93" t="s">
        <v>584</v>
      </c>
      <c r="B1" s="42"/>
      <c r="C1" s="42"/>
      <c r="D1" s="42"/>
      <c r="E1" s="42"/>
      <c r="F1" s="42"/>
    </row>
    <row r="2" spans="1:6" ht="15" customHeight="1">
      <c r="A2" s="41"/>
      <c r="B2" s="42"/>
      <c r="C2" s="42"/>
      <c r="D2" s="42"/>
      <c r="E2" s="42"/>
      <c r="F2" s="42"/>
    </row>
    <row r="4" spans="1:6" ht="22.95" customHeight="1">
      <c r="A4" s="43" t="s">
        <v>181</v>
      </c>
      <c r="B4" s="42"/>
      <c r="C4" s="42"/>
      <c r="D4" s="42"/>
      <c r="E4" s="42"/>
      <c r="F4" s="42"/>
    </row>
    <row r="5" spans="1:6">
      <c r="A5" s="2" t="s">
        <v>182</v>
      </c>
      <c r="C5" s="116">
        <f>COUNTIF(BG_CPT,"&lt;&gt;")</f>
        <v>0</v>
      </c>
    </row>
    <row r="6" spans="1:6">
      <c r="A6" s="2" t="s">
        <v>183</v>
      </c>
      <c r="C6" s="117">
        <f>SUM('06_BALANCE_ESG'!E5:E5004)</f>
        <v>0</v>
      </c>
    </row>
    <row r="7" spans="1:6">
      <c r="A7" s="2" t="s">
        <v>184</v>
      </c>
      <c r="C7" s="117">
        <f>SUM('06_BALANCE_ESG'!F5:F5004)</f>
        <v>0</v>
      </c>
    </row>
    <row r="8" spans="1:6">
      <c r="A8" s="2" t="s">
        <v>185</v>
      </c>
      <c r="C8" s="118">
        <f>SUM('06_BALANCE_ESG'!E5:E5004)-SUM('06_BALANCE_ESG'!F5:F5004)</f>
        <v>0</v>
      </c>
    </row>
    <row r="9" spans="1:6">
      <c r="A9" s="2" t="s">
        <v>186</v>
      </c>
      <c r="C9" s="116">
        <f>COUNTIFS(BG_CPT,"&lt;&gt;",BG_INDIC,"")</f>
        <v>0</v>
      </c>
    </row>
    <row r="10" spans="1:6">
      <c r="A10" s="2" t="s">
        <v>187</v>
      </c>
      <c r="C10" s="117">
        <f>SUMIFS(BG_MONTANT,BG_INDIC,"")</f>
        <v>0</v>
      </c>
    </row>
    <row r="11" spans="1:6">
      <c r="A11" s="2" t="s">
        <v>188</v>
      </c>
      <c r="C11" s="116">
        <f>COUNTIF(D_EFF,"&gt;0")</f>
        <v>0</v>
      </c>
    </row>
    <row r="13" spans="1:6" ht="22.95" customHeight="1">
      <c r="A13" s="43" t="s">
        <v>189</v>
      </c>
      <c r="B13" s="42"/>
      <c r="C13" s="42"/>
      <c r="D13" s="42"/>
      <c r="E13" s="42"/>
      <c r="F13" s="42"/>
    </row>
    <row r="14" spans="1:6">
      <c r="A14" s="2" t="s">
        <v>190</v>
      </c>
      <c r="C14" s="117">
        <f>SUMIFS(BG_MONTANT,BG_PREF2,"70")</f>
        <v>0</v>
      </c>
    </row>
    <row r="15" spans="1:6">
      <c r="A15" s="2" t="s">
        <v>191</v>
      </c>
      <c r="C15" s="117">
        <f>SUMIFS(BG_MONTANT,BG_CLASSE,"7")</f>
        <v>0</v>
      </c>
    </row>
    <row r="16" spans="1:6">
      <c r="A16" s="2" t="s">
        <v>192</v>
      </c>
      <c r="C16" s="117">
        <f>SUMIFS(BG_MONTANT,BG_CLASSE,"6")</f>
        <v>0</v>
      </c>
    </row>
    <row r="17" spans="1:3">
      <c r="A17" s="2" t="s">
        <v>193</v>
      </c>
      <c r="C17" s="119">
        <f>SUMIFS(BG_TCO2,BG_SCOPE,"Scope 1")</f>
        <v>0</v>
      </c>
    </row>
    <row r="18" spans="1:3">
      <c r="A18" s="2" t="s">
        <v>194</v>
      </c>
      <c r="C18" s="119">
        <f>SUMIFS(BG_TCO2,BG_SCOPE,"Scope 2")</f>
        <v>0</v>
      </c>
    </row>
    <row r="19" spans="1:3">
      <c r="A19" s="2" t="s">
        <v>195</v>
      </c>
      <c r="C19" s="119">
        <f>SUMIFS(BG_TCO2,BG_SCOPE,"Scope 3")</f>
        <v>0</v>
      </c>
    </row>
    <row r="20" spans="1:3">
      <c r="A20" s="2" t="s">
        <v>196</v>
      </c>
      <c r="C20" s="119">
        <f>GES1+GES2+GES3</f>
        <v>0</v>
      </c>
    </row>
    <row r="21" spans="1:3">
      <c r="A21" s="2" t="s">
        <v>197</v>
      </c>
      <c r="C21" s="120">
        <f>SUMIFS(BG_QTE,BG_INDIC,"Électricité")</f>
        <v>0</v>
      </c>
    </row>
    <row r="22" spans="1:3">
      <c r="A22" s="2" t="s">
        <v>198</v>
      </c>
      <c r="C22" s="120">
        <f>SUMIFS(BG_QTE,BG_INDIC,"Gaz / chauffage")</f>
        <v>0</v>
      </c>
    </row>
    <row r="23" spans="1:3">
      <c r="A23" s="2" t="s">
        <v>199</v>
      </c>
      <c r="C23" s="120">
        <f>SUMIFS(BG_QTE,BG_INDIC,"Réseau chaleur / froid")</f>
        <v>0</v>
      </c>
    </row>
    <row r="24" spans="1:3">
      <c r="A24" s="2" t="s">
        <v>200</v>
      </c>
      <c r="C24" s="120">
        <f>ENER_ELEC+ENER_GAZ+ENER_CHAL</f>
        <v>0</v>
      </c>
    </row>
    <row r="25" spans="1:3">
      <c r="A25" s="2" t="s">
        <v>201</v>
      </c>
      <c r="C25" s="121">
        <f>SUMIFS(BG_QTE,BG_INDIC,"Eau")</f>
        <v>0</v>
      </c>
    </row>
    <row r="26" spans="1:3">
      <c r="A26" s="2" t="s">
        <v>202</v>
      </c>
      <c r="C26" s="121">
        <f>IF(M_EAU_M3&gt;0,M_EAU_M3,EAU_AUTO)</f>
        <v>0</v>
      </c>
    </row>
    <row r="27" spans="1:3">
      <c r="A27" s="2" t="s">
        <v>203</v>
      </c>
      <c r="C27" s="121">
        <f>IF(M_EAU_PRELEV&gt;0,M_EAU_PRELEV,EAU_M3)</f>
        <v>0</v>
      </c>
    </row>
    <row r="28" spans="1:3">
      <c r="A28" s="2" t="s">
        <v>204</v>
      </c>
      <c r="C28" s="122">
        <f>M_DECHET_T</f>
        <v>0</v>
      </c>
    </row>
    <row r="29" spans="1:3">
      <c r="A29" s="2" t="s">
        <v>205</v>
      </c>
      <c r="C29" s="119">
        <f>IF(M_SCOPE1_DECL&gt;0,M_SCOPE1_DECL,GES1)</f>
        <v>0</v>
      </c>
    </row>
    <row r="30" spans="1:3">
      <c r="A30" s="2" t="s">
        <v>206</v>
      </c>
      <c r="C30" s="119">
        <f>IF(M_SCOPE2_DECL&gt;0,M_SCOPE2_DECL,GES2)</f>
        <v>0</v>
      </c>
    </row>
    <row r="31" spans="1:3">
      <c r="A31" s="2" t="s">
        <v>207</v>
      </c>
      <c r="C31" s="119">
        <f>SCOPE1_RET+SCOPE2_RET+GES3</f>
        <v>0</v>
      </c>
    </row>
    <row r="32" spans="1:3">
      <c r="A32" s="2" t="s">
        <v>208</v>
      </c>
      <c r="C32" s="123">
        <f>IF(M_ENERGIE_DECL&gt;0,M_ENERGIE_DECL,ENER_TOT/1000)</f>
        <v>0</v>
      </c>
    </row>
    <row r="33" spans="1:3">
      <c r="A33" s="2" t="s">
        <v>209</v>
      </c>
      <c r="C33" s="117">
        <f>SUMIFS(BG_MONTANT,BG_CPT,"641*")</f>
        <v>0</v>
      </c>
    </row>
    <row r="34" spans="1:3">
      <c r="A34" s="2" t="s">
        <v>210</v>
      </c>
      <c r="C34" s="117">
        <f>SUMIFS(BG_MONTANT,BG_CPT,"645*")</f>
        <v>0</v>
      </c>
    </row>
    <row r="35" spans="1:3">
      <c r="A35" s="2" t="s">
        <v>122</v>
      </c>
      <c r="C35" s="117">
        <f>SUMIFS(BG_MONTANT,BG_THEME,"Pilotage ESG")</f>
        <v>0</v>
      </c>
    </row>
    <row r="36" spans="1:3">
      <c r="A36" s="2" t="s">
        <v>123</v>
      </c>
      <c r="C36" s="117">
        <f>SUMIFS(BG_MONTANT,BG_THEME,"Communauté")</f>
        <v>0</v>
      </c>
    </row>
    <row r="37" spans="1:3">
      <c r="A37" s="2" t="s">
        <v>211</v>
      </c>
      <c r="C37" s="117">
        <f>SUMIFS(BG_MONTANT,BG_THEME,"Fiscalité")</f>
        <v>0</v>
      </c>
    </row>
    <row r="38" spans="1:3">
      <c r="A38" s="2" t="s">
        <v>59</v>
      </c>
      <c r="C38" s="124">
        <f>IFERROR(AVERAGEIFS(D_EFF,D_EFF,"&gt;0"),0)</f>
        <v>0</v>
      </c>
    </row>
    <row r="39" spans="1:3">
      <c r="A39" s="2" t="s">
        <v>212</v>
      </c>
      <c r="C39" s="124">
        <f>IFERROR(AVERAGEIFS(D_ETP,D_ETP,"&gt;0"),0)</f>
        <v>0</v>
      </c>
    </row>
    <row r="40" spans="1:3">
      <c r="A40" s="2" t="s">
        <v>213</v>
      </c>
      <c r="C40" s="124">
        <f>IFERROR(AVERAGEIFS(D_H,D_H,"&gt;0"),0)</f>
        <v>0</v>
      </c>
    </row>
    <row r="41" spans="1:3">
      <c r="A41" s="2" t="s">
        <v>214</v>
      </c>
      <c r="C41" s="124">
        <f>IFERROR(AVERAGEIFS(D_F,D_F,"&gt;0"),0)</f>
        <v>0</v>
      </c>
    </row>
    <row r="42" spans="1:3">
      <c r="A42" s="2" t="s">
        <v>105</v>
      </c>
      <c r="C42" s="125">
        <f>IFERROR(F_AVG/(F_AVG+H_AVG),0)</f>
        <v>0</v>
      </c>
    </row>
    <row r="43" spans="1:3">
      <c r="A43" s="2" t="s">
        <v>215</v>
      </c>
      <c r="C43" s="124">
        <f>IFERROR(AVERAGEIFS(D_CDI,D_CDI,"&gt;0"),0)</f>
        <v>0</v>
      </c>
    </row>
    <row r="44" spans="1:3">
      <c r="A44" s="2" t="s">
        <v>216</v>
      </c>
      <c r="C44" s="124">
        <f>IFERROR(AVERAGEIFS(D_CDD,D_CDD,"&gt;0"),0)</f>
        <v>0</v>
      </c>
    </row>
    <row r="45" spans="1:3">
      <c r="A45" s="2" t="s">
        <v>61</v>
      </c>
      <c r="C45" s="125">
        <f>IFERROR(CDI_AVG/(CDI_AVG+CDD_AVG),0)</f>
        <v>0</v>
      </c>
    </row>
    <row r="46" spans="1:3">
      <c r="A46" s="2" t="s">
        <v>110</v>
      </c>
      <c r="C46" s="126">
        <f>IFERROR(AVERAGEIFS(D_AGE,D_AGE,"&gt;0"),0)</f>
        <v>0</v>
      </c>
    </row>
    <row r="47" spans="1:3">
      <c r="A47" s="2" t="s">
        <v>217</v>
      </c>
      <c r="C47" s="125">
        <f>IFERROR(AVERAGEIFS(D_CONV,D_EFF,"&gt;0"),0)</f>
        <v>0</v>
      </c>
    </row>
    <row r="48" spans="1:3">
      <c r="A48" s="2" t="s">
        <v>218</v>
      </c>
      <c r="C48" s="117">
        <f>IFERROR(AVERAGEIFS(D_REMH,D_REMH,"&gt;0"),0)</f>
        <v>0</v>
      </c>
    </row>
    <row r="49" spans="1:6">
      <c r="A49" s="2" t="s">
        <v>219</v>
      </c>
      <c r="C49" s="117">
        <f>IFERROR(AVERAGEIFS(D_REMF,D_REMF,"&gt;0"),0)</f>
        <v>0</v>
      </c>
    </row>
    <row r="50" spans="1:6">
      <c r="A50" s="2" t="s">
        <v>220</v>
      </c>
      <c r="C50" s="125">
        <f>IFERROR((REMH-REMF)/REMH,0)</f>
        <v>0</v>
      </c>
    </row>
    <row r="51" spans="1:6">
      <c r="A51" s="2" t="s">
        <v>221</v>
      </c>
      <c r="C51" s="124">
        <f>IFERROR(AVERAGEIFS(D_SMIC,D_EFF,"&gt;0"),0)</f>
        <v>0</v>
      </c>
    </row>
    <row r="52" spans="1:6">
      <c r="A52" s="2" t="s">
        <v>222</v>
      </c>
      <c r="C52" s="125">
        <f>IFERROR(NSMIC_AVG/EFF,0)</f>
        <v>0</v>
      </c>
    </row>
    <row r="54" spans="1:6" ht="22.95" customHeight="1">
      <c r="A54" s="43" t="s">
        <v>223</v>
      </c>
      <c r="B54" s="42"/>
      <c r="C54" s="42"/>
      <c r="D54" s="42"/>
      <c r="E54" s="42"/>
      <c r="F54" s="42"/>
    </row>
    <row r="55" spans="1:6">
      <c r="A55" s="13" t="s">
        <v>224</v>
      </c>
      <c r="C55" s="13" t="s">
        <v>74</v>
      </c>
    </row>
    <row r="56" spans="1:6">
      <c r="A56" s="24" t="s">
        <v>225</v>
      </c>
      <c r="C56" s="127">
        <f>SCOPE1_RET</f>
        <v>0</v>
      </c>
    </row>
    <row r="57" spans="1:6">
      <c r="A57" s="24" t="s">
        <v>226</v>
      </c>
      <c r="C57" s="127">
        <f>SCOPE2_RET</f>
        <v>0</v>
      </c>
    </row>
    <row r="58" spans="1:6">
      <c r="A58" s="24" t="s">
        <v>227</v>
      </c>
      <c r="C58" s="127">
        <f>GES3</f>
        <v>0</v>
      </c>
    </row>
    <row r="60" spans="1:6">
      <c r="A60" s="13" t="s">
        <v>228</v>
      </c>
      <c r="C60" s="13" t="s">
        <v>74</v>
      </c>
    </row>
    <row r="61" spans="1:6">
      <c r="A61" s="24" t="s">
        <v>229</v>
      </c>
      <c r="C61" s="127">
        <f>SUMIFS(BG_TCO2,BG_THEME,"Énergie")</f>
        <v>0</v>
      </c>
    </row>
    <row r="62" spans="1:6">
      <c r="A62" s="24" t="s">
        <v>230</v>
      </c>
      <c r="C62" s="127">
        <f>SUMIFS(BG_TCO2,BG_THEME,"Mobilité")</f>
        <v>0</v>
      </c>
    </row>
    <row r="63" spans="1:6">
      <c r="A63" s="24" t="s">
        <v>231</v>
      </c>
      <c r="C63" s="127">
        <f>SUMIFS(BG_TCO2,BG_THEME,"Numérique")</f>
        <v>0</v>
      </c>
    </row>
    <row r="64" spans="1:6">
      <c r="A64" s="24" t="s">
        <v>232</v>
      </c>
      <c r="C64" s="127">
        <f>SUMIFS(BG_TCO2,BG_THEME,"Achats")</f>
        <v>0</v>
      </c>
    </row>
    <row r="65" spans="1:3">
      <c r="A65" s="24" t="s">
        <v>233</v>
      </c>
      <c r="C65" s="127">
        <f>SUMIFS(BG_TCO2,BG_THEME,"Déchets")</f>
        <v>0</v>
      </c>
    </row>
  </sheetData>
  <mergeCells count="5">
    <mergeCell ref="A2:F2"/>
    <mergeCell ref="A54:F54"/>
    <mergeCell ref="A13:F13"/>
    <mergeCell ref="A1:F1"/>
    <mergeCell ref="A4:F4"/>
  </mergeCells>
  <printOptions horizontalCentered="1"/>
  <pageMargins left="0.3" right="0.3" top="0.4" bottom="0.4" header="0.5" footer="0.5"/>
  <pageSetup fitToHeight="0"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1565C0"/>
    <pageSetUpPr fitToPage="1"/>
  </sheetPr>
  <dimension ref="A1:N133"/>
  <sheetViews>
    <sheetView showGridLines="0" workbookViewId="0">
      <selection activeCell="H127" sqref="H127"/>
    </sheetView>
  </sheetViews>
  <sheetFormatPr defaultRowHeight="13.8"/>
  <cols>
    <col min="1" max="1" width="16" customWidth="1"/>
    <col min="2" max="2" width="30" customWidth="1"/>
    <col min="3" max="3" width="13" customWidth="1"/>
    <col min="4" max="4" width="15" customWidth="1"/>
    <col min="5" max="5" width="8" customWidth="1"/>
    <col min="6" max="6" width="13.296875" customWidth="1"/>
    <col min="7" max="7" width="9" customWidth="1"/>
    <col min="8" max="9" width="12" customWidth="1"/>
    <col min="10" max="10" width="15" customWidth="1"/>
    <col min="11" max="12" width="17" customWidth="1"/>
    <col min="13" max="13" width="34" customWidth="1"/>
    <col min="14" max="14" width="30" customWidth="1"/>
  </cols>
  <sheetData>
    <row r="1" spans="1:14" ht="30" customHeight="1">
      <c r="A1" s="93" t="s">
        <v>585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</row>
    <row r="2" spans="1:14" ht="15" customHeight="1">
      <c r="A2" s="41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</row>
    <row r="4" spans="1:14" ht="22.95" customHeight="1">
      <c r="A4" s="97" t="s">
        <v>587</v>
      </c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</row>
    <row r="5" spans="1:14">
      <c r="A5" s="25" t="s">
        <v>234</v>
      </c>
      <c r="B5" s="25" t="s">
        <v>150</v>
      </c>
      <c r="C5" s="25" t="s">
        <v>68</v>
      </c>
      <c r="D5" s="25" t="s">
        <v>69</v>
      </c>
      <c r="E5" s="25" t="s">
        <v>165</v>
      </c>
      <c r="F5" s="25" t="s">
        <v>70</v>
      </c>
      <c r="G5" s="25" t="s">
        <v>235</v>
      </c>
    </row>
    <row r="6" spans="1:14" ht="24">
      <c r="A6" s="26" t="s">
        <v>236</v>
      </c>
      <c r="B6" s="24" t="s">
        <v>237</v>
      </c>
      <c r="C6" s="128">
        <v>0.25</v>
      </c>
      <c r="D6" s="27" t="s">
        <v>238</v>
      </c>
      <c r="E6" s="16" t="s">
        <v>239</v>
      </c>
      <c r="F6" s="28" t="s">
        <v>240</v>
      </c>
      <c r="G6" s="16" t="s">
        <v>241</v>
      </c>
    </row>
    <row r="7" spans="1:14" ht="24">
      <c r="A7" s="26" t="s">
        <v>242</v>
      </c>
      <c r="B7" s="24" t="s">
        <v>243</v>
      </c>
      <c r="C7" s="128">
        <v>0.11</v>
      </c>
      <c r="D7" s="27" t="s">
        <v>238</v>
      </c>
      <c r="E7" s="16" t="s">
        <v>239</v>
      </c>
      <c r="F7" s="28" t="s">
        <v>240</v>
      </c>
      <c r="G7" s="16" t="s">
        <v>241</v>
      </c>
    </row>
    <row r="8" spans="1:14" ht="24">
      <c r="A8" s="26" t="s">
        <v>244</v>
      </c>
      <c r="B8" s="24" t="s">
        <v>245</v>
      </c>
      <c r="C8" s="128">
        <v>0.1</v>
      </c>
      <c r="D8" s="27" t="s">
        <v>238</v>
      </c>
      <c r="E8" s="16" t="s">
        <v>239</v>
      </c>
      <c r="F8" s="28" t="s">
        <v>246</v>
      </c>
      <c r="G8" s="16" t="s">
        <v>241</v>
      </c>
    </row>
    <row r="9" spans="1:14" ht="24">
      <c r="A9" s="26" t="s">
        <v>247</v>
      </c>
      <c r="B9" s="24" t="s">
        <v>248</v>
      </c>
      <c r="C9" s="128">
        <v>4.3</v>
      </c>
      <c r="D9" s="27" t="s">
        <v>249</v>
      </c>
      <c r="E9" s="16" t="s">
        <v>239</v>
      </c>
      <c r="F9" s="28" t="s">
        <v>250</v>
      </c>
      <c r="G9" s="16" t="s">
        <v>241</v>
      </c>
    </row>
    <row r="10" spans="1:14" ht="24">
      <c r="A10" s="26" t="s">
        <v>251</v>
      </c>
      <c r="B10" s="24" t="s">
        <v>252</v>
      </c>
      <c r="C10" s="128">
        <v>1.75</v>
      </c>
      <c r="D10" s="27" t="s">
        <v>253</v>
      </c>
      <c r="E10" s="16" t="s">
        <v>239</v>
      </c>
      <c r="F10" s="28" t="s">
        <v>254</v>
      </c>
      <c r="G10" s="16" t="s">
        <v>241</v>
      </c>
    </row>
    <row r="11" spans="1:14" ht="24">
      <c r="A11" s="26" t="s">
        <v>255</v>
      </c>
      <c r="B11" s="24" t="s">
        <v>256</v>
      </c>
      <c r="C11" s="128">
        <v>1.85</v>
      </c>
      <c r="D11" s="27" t="s">
        <v>253</v>
      </c>
      <c r="E11" s="16" t="s">
        <v>239</v>
      </c>
      <c r="F11" s="28" t="s">
        <v>254</v>
      </c>
      <c r="G11" s="16" t="s">
        <v>241</v>
      </c>
    </row>
    <row r="12" spans="1:14" ht="24">
      <c r="A12" s="26" t="s">
        <v>257</v>
      </c>
      <c r="B12" s="24" t="s">
        <v>258</v>
      </c>
      <c r="C12" s="128">
        <v>1.2</v>
      </c>
      <c r="D12" s="27" t="s">
        <v>253</v>
      </c>
      <c r="E12" s="16" t="s">
        <v>239</v>
      </c>
      <c r="F12" s="28" t="s">
        <v>259</v>
      </c>
      <c r="G12" s="16" t="s">
        <v>241</v>
      </c>
    </row>
    <row r="14" spans="1:14" ht="22.95" customHeight="1">
      <c r="A14" s="97" t="s">
        <v>588</v>
      </c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</row>
    <row r="15" spans="1:14">
      <c r="A15" s="25" t="s">
        <v>234</v>
      </c>
      <c r="B15" s="25" t="s">
        <v>68</v>
      </c>
      <c r="C15" s="25" t="s">
        <v>69</v>
      </c>
      <c r="D15" s="25" t="s">
        <v>165</v>
      </c>
      <c r="E15" s="25" t="s">
        <v>70</v>
      </c>
      <c r="F15" s="25" t="s">
        <v>260</v>
      </c>
    </row>
    <row r="16" spans="1:14" ht="36">
      <c r="A16" s="26" t="s">
        <v>261</v>
      </c>
      <c r="B16" s="129">
        <v>5.1999999999999998E-2</v>
      </c>
      <c r="C16" s="27" t="s">
        <v>262</v>
      </c>
      <c r="D16" s="16" t="s">
        <v>239</v>
      </c>
      <c r="E16" s="28" t="s">
        <v>263</v>
      </c>
      <c r="F16" s="16" t="s">
        <v>241</v>
      </c>
    </row>
    <row r="17" spans="1:14" ht="48">
      <c r="A17" s="26" t="s">
        <v>264</v>
      </c>
      <c r="B17" s="129">
        <v>0.22700000000000001</v>
      </c>
      <c r="C17" s="27" t="s">
        <v>262</v>
      </c>
      <c r="D17" s="16" t="s">
        <v>265</v>
      </c>
      <c r="E17" s="28" t="s">
        <v>266</v>
      </c>
      <c r="F17" s="16" t="s">
        <v>241</v>
      </c>
    </row>
    <row r="18" spans="1:14" ht="60">
      <c r="A18" s="26" t="s">
        <v>267</v>
      </c>
      <c r="B18" s="129">
        <v>0.11600000000000001</v>
      </c>
      <c r="C18" s="27" t="s">
        <v>262</v>
      </c>
      <c r="D18" s="16" t="s">
        <v>239</v>
      </c>
      <c r="E18" s="28" t="s">
        <v>268</v>
      </c>
      <c r="F18" s="16" t="s">
        <v>241</v>
      </c>
    </row>
    <row r="19" spans="1:14" ht="48">
      <c r="A19" s="26" t="s">
        <v>269</v>
      </c>
      <c r="B19" s="129">
        <v>0.13200000000000001</v>
      </c>
      <c r="C19" s="27" t="s">
        <v>270</v>
      </c>
      <c r="D19" s="16" t="s">
        <v>265</v>
      </c>
      <c r="E19" s="28" t="s">
        <v>271</v>
      </c>
      <c r="F19" s="16" t="s">
        <v>241</v>
      </c>
    </row>
    <row r="20" spans="1:14" ht="60">
      <c r="A20" s="26" t="s">
        <v>272</v>
      </c>
      <c r="B20" s="129">
        <v>3.07</v>
      </c>
      <c r="C20" s="27" t="s">
        <v>273</v>
      </c>
      <c r="D20" s="16" t="s">
        <v>265</v>
      </c>
      <c r="E20" s="28" t="s">
        <v>274</v>
      </c>
      <c r="F20" s="16" t="s">
        <v>241</v>
      </c>
    </row>
    <row r="21" spans="1:14" ht="60">
      <c r="A21" s="26" t="s">
        <v>275</v>
      </c>
      <c r="B21" s="129">
        <v>2.7</v>
      </c>
      <c r="C21" s="27" t="s">
        <v>273</v>
      </c>
      <c r="D21" s="16" t="s">
        <v>265</v>
      </c>
      <c r="E21" s="28" t="s">
        <v>276</v>
      </c>
      <c r="F21" s="16" t="s">
        <v>241</v>
      </c>
    </row>
    <row r="22" spans="1:14" ht="36">
      <c r="A22" s="26" t="s">
        <v>277</v>
      </c>
      <c r="B22" s="129">
        <v>3.15</v>
      </c>
      <c r="C22" s="27" t="s">
        <v>273</v>
      </c>
      <c r="D22" s="16" t="s">
        <v>265</v>
      </c>
      <c r="E22" s="28" t="s">
        <v>278</v>
      </c>
      <c r="F22" s="16" t="s">
        <v>241</v>
      </c>
    </row>
    <row r="24" spans="1:14" ht="22.95" customHeight="1">
      <c r="A24" s="99" t="s">
        <v>589</v>
      </c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</row>
    <row r="25" spans="1:14">
      <c r="A25" s="44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</row>
    <row r="26" spans="1:14" ht="30" customHeight="1">
      <c r="A26" s="5" t="s">
        <v>279</v>
      </c>
      <c r="B26" s="5" t="s">
        <v>67</v>
      </c>
      <c r="C26" s="5" t="s">
        <v>160</v>
      </c>
      <c r="D26" s="5" t="s">
        <v>161</v>
      </c>
      <c r="E26" s="5" t="s">
        <v>162</v>
      </c>
      <c r="F26" s="5" t="s">
        <v>163</v>
      </c>
      <c r="G26" s="5" t="s">
        <v>69</v>
      </c>
      <c r="H26" s="5" t="s">
        <v>164</v>
      </c>
      <c r="I26" s="5" t="s">
        <v>280</v>
      </c>
      <c r="J26" s="130" t="s">
        <v>586</v>
      </c>
      <c r="K26" s="5" t="s">
        <v>281</v>
      </c>
      <c r="L26" s="5" t="s">
        <v>282</v>
      </c>
      <c r="M26" s="5" t="s">
        <v>70</v>
      </c>
      <c r="N26" s="5" t="s">
        <v>283</v>
      </c>
    </row>
    <row r="27" spans="1:14">
      <c r="A27" s="26" t="s">
        <v>284</v>
      </c>
      <c r="B27" s="24" t="s">
        <v>285</v>
      </c>
      <c r="C27" s="29" t="s">
        <v>286</v>
      </c>
      <c r="D27" s="19" t="s">
        <v>229</v>
      </c>
      <c r="E27" s="30" t="s">
        <v>287</v>
      </c>
      <c r="F27" s="16" t="s">
        <v>226</v>
      </c>
      <c r="G27" s="16" t="s">
        <v>288</v>
      </c>
      <c r="H27" s="16" t="s">
        <v>289</v>
      </c>
      <c r="I27" s="16" t="s">
        <v>239</v>
      </c>
      <c r="J27" s="31">
        <f>1/$C$6</f>
        <v>4</v>
      </c>
      <c r="K27" s="31">
        <f>$B$16</f>
        <v>5.1999999999999998E-2</v>
      </c>
      <c r="L27" s="32"/>
      <c r="M27" s="33" t="s">
        <v>290</v>
      </c>
      <c r="N27" s="34"/>
    </row>
    <row r="28" spans="1:14">
      <c r="A28" s="26" t="s">
        <v>291</v>
      </c>
      <c r="B28" s="24" t="s">
        <v>292</v>
      </c>
      <c r="C28" s="29" t="s">
        <v>286</v>
      </c>
      <c r="D28" s="19" t="s">
        <v>229</v>
      </c>
      <c r="E28" s="30" t="s">
        <v>287</v>
      </c>
      <c r="F28" s="16" t="s">
        <v>225</v>
      </c>
      <c r="G28" s="16" t="s">
        <v>288</v>
      </c>
      <c r="H28" s="16" t="s">
        <v>289</v>
      </c>
      <c r="I28" s="16" t="s">
        <v>265</v>
      </c>
      <c r="J28" s="31">
        <f>1/$C$7</f>
        <v>9.0909090909090917</v>
      </c>
      <c r="K28" s="31">
        <f>$B$17</f>
        <v>0.22700000000000001</v>
      </c>
      <c r="L28" s="32"/>
      <c r="M28" s="33" t="s">
        <v>290</v>
      </c>
      <c r="N28" s="34"/>
    </row>
    <row r="29" spans="1:14">
      <c r="A29" s="26" t="s">
        <v>293</v>
      </c>
      <c r="B29" s="24" t="s">
        <v>294</v>
      </c>
      <c r="C29" s="29" t="s">
        <v>286</v>
      </c>
      <c r="D29" s="19" t="s">
        <v>229</v>
      </c>
      <c r="E29" s="30" t="s">
        <v>287</v>
      </c>
      <c r="F29" s="16" t="s">
        <v>226</v>
      </c>
      <c r="G29" s="16" t="s">
        <v>288</v>
      </c>
      <c r="H29" s="16" t="s">
        <v>289</v>
      </c>
      <c r="I29" s="16" t="s">
        <v>239</v>
      </c>
      <c r="J29" s="31">
        <f>1/$C$8</f>
        <v>10</v>
      </c>
      <c r="K29" s="31">
        <f>$B$18</f>
        <v>0.11600000000000001</v>
      </c>
      <c r="L29" s="32"/>
      <c r="M29" s="33" t="s">
        <v>295</v>
      </c>
      <c r="N29" s="34"/>
    </row>
    <row r="30" spans="1:14">
      <c r="A30" s="26" t="s">
        <v>296</v>
      </c>
      <c r="B30" s="24" t="s">
        <v>297</v>
      </c>
      <c r="C30" s="29" t="s">
        <v>286</v>
      </c>
      <c r="D30" s="19" t="s">
        <v>297</v>
      </c>
      <c r="E30" s="30" t="s">
        <v>298</v>
      </c>
      <c r="F30" s="16" t="s">
        <v>299</v>
      </c>
      <c r="G30" s="16" t="s">
        <v>58</v>
      </c>
      <c r="H30" s="16" t="s">
        <v>289</v>
      </c>
      <c r="I30" s="16" t="s">
        <v>265</v>
      </c>
      <c r="J30" s="31">
        <f>1/$C$9</f>
        <v>0.23255813953488372</v>
      </c>
      <c r="K30" s="31">
        <f>$B$19</f>
        <v>0.13200000000000001</v>
      </c>
      <c r="L30" s="32"/>
      <c r="M30" s="33" t="s">
        <v>290</v>
      </c>
      <c r="N30" s="34"/>
    </row>
    <row r="31" spans="1:14">
      <c r="A31" s="26" t="s">
        <v>300</v>
      </c>
      <c r="B31" s="24" t="s">
        <v>301</v>
      </c>
      <c r="C31" s="29" t="s">
        <v>286</v>
      </c>
      <c r="D31" s="19" t="s">
        <v>230</v>
      </c>
      <c r="E31" s="30" t="s">
        <v>287</v>
      </c>
      <c r="F31" s="16" t="s">
        <v>225</v>
      </c>
      <c r="G31" s="16" t="s">
        <v>302</v>
      </c>
      <c r="H31" s="16" t="s">
        <v>289</v>
      </c>
      <c r="I31" s="16" t="s">
        <v>265</v>
      </c>
      <c r="J31" s="31">
        <f>1/$C$10</f>
        <v>0.5714285714285714</v>
      </c>
      <c r="K31" s="31">
        <f>$B$20</f>
        <v>3.07</v>
      </c>
      <c r="L31" s="32"/>
      <c r="M31" s="33" t="s">
        <v>303</v>
      </c>
      <c r="N31" s="34"/>
    </row>
    <row r="32" spans="1:14">
      <c r="A32" s="26" t="s">
        <v>304</v>
      </c>
      <c r="B32" s="24" t="s">
        <v>305</v>
      </c>
      <c r="C32" s="29" t="s">
        <v>286</v>
      </c>
      <c r="D32" s="19" t="s">
        <v>230</v>
      </c>
      <c r="E32" s="30" t="s">
        <v>287</v>
      </c>
      <c r="F32" s="16" t="s">
        <v>225</v>
      </c>
      <c r="G32" s="16" t="s">
        <v>302</v>
      </c>
      <c r="H32" s="16" t="s">
        <v>289</v>
      </c>
      <c r="I32" s="16" t="s">
        <v>265</v>
      </c>
      <c r="J32" s="31">
        <f>1/$C$11</f>
        <v>0.54054054054054046</v>
      </c>
      <c r="K32" s="31">
        <f>$B$21</f>
        <v>2.7</v>
      </c>
      <c r="L32" s="32"/>
      <c r="M32" s="33" t="s">
        <v>303</v>
      </c>
      <c r="N32" s="34"/>
    </row>
    <row r="33" spans="1:14">
      <c r="A33" s="26" t="s">
        <v>306</v>
      </c>
      <c r="B33" s="24" t="s">
        <v>307</v>
      </c>
      <c r="C33" s="29" t="s">
        <v>286</v>
      </c>
      <c r="D33" s="19" t="s">
        <v>230</v>
      </c>
      <c r="E33" s="30" t="s">
        <v>287</v>
      </c>
      <c r="F33" s="16" t="s">
        <v>225</v>
      </c>
      <c r="G33" s="16" t="s">
        <v>302</v>
      </c>
      <c r="H33" s="16" t="s">
        <v>289</v>
      </c>
      <c r="I33" s="16" t="s">
        <v>265</v>
      </c>
      <c r="J33" s="31">
        <f>1/$C$10</f>
        <v>0.5714285714285714</v>
      </c>
      <c r="K33" s="31">
        <f>$B$20</f>
        <v>3.07</v>
      </c>
      <c r="L33" s="32"/>
      <c r="M33" s="33" t="s">
        <v>303</v>
      </c>
      <c r="N33" s="34"/>
    </row>
    <row r="34" spans="1:14">
      <c r="A34" s="26" t="s">
        <v>308</v>
      </c>
      <c r="B34" s="24" t="s">
        <v>309</v>
      </c>
      <c r="C34" s="29" t="s">
        <v>286</v>
      </c>
      <c r="D34" s="19" t="s">
        <v>229</v>
      </c>
      <c r="E34" s="30" t="s">
        <v>287</v>
      </c>
      <c r="F34" s="16" t="s">
        <v>225</v>
      </c>
      <c r="G34" s="16" t="s">
        <v>302</v>
      </c>
      <c r="H34" s="16" t="s">
        <v>289</v>
      </c>
      <c r="I34" s="16" t="s">
        <v>265</v>
      </c>
      <c r="J34" s="31">
        <f>1/$C$12</f>
        <v>0.83333333333333337</v>
      </c>
      <c r="K34" s="31">
        <f>$B$22</f>
        <v>3.15</v>
      </c>
      <c r="L34" s="32"/>
      <c r="M34" s="33" t="s">
        <v>310</v>
      </c>
      <c r="N34" s="34"/>
    </row>
    <row r="35" spans="1:14">
      <c r="A35" s="26" t="s">
        <v>311</v>
      </c>
      <c r="B35" s="24" t="s">
        <v>312</v>
      </c>
      <c r="C35" s="29" t="s">
        <v>286</v>
      </c>
      <c r="D35" s="19" t="s">
        <v>230</v>
      </c>
      <c r="E35" s="30" t="s">
        <v>287</v>
      </c>
      <c r="F35" s="16" t="s">
        <v>227</v>
      </c>
      <c r="G35" s="16" t="s">
        <v>299</v>
      </c>
      <c r="H35" s="16" t="s">
        <v>313</v>
      </c>
      <c r="I35" s="16" t="s">
        <v>265</v>
      </c>
      <c r="J35" s="4"/>
      <c r="K35" s="4"/>
      <c r="L35" s="131">
        <v>0.04</v>
      </c>
      <c r="M35" s="33" t="s">
        <v>314</v>
      </c>
      <c r="N35" s="34"/>
    </row>
    <row r="36" spans="1:14">
      <c r="A36" s="26" t="s">
        <v>315</v>
      </c>
      <c r="B36" s="24" t="s">
        <v>316</v>
      </c>
      <c r="C36" s="29" t="s">
        <v>286</v>
      </c>
      <c r="D36" s="19" t="s">
        <v>230</v>
      </c>
      <c r="E36" s="30" t="s">
        <v>287</v>
      </c>
      <c r="F36" s="16" t="s">
        <v>227</v>
      </c>
      <c r="G36" s="16" t="s">
        <v>299</v>
      </c>
      <c r="H36" s="16" t="s">
        <v>313</v>
      </c>
      <c r="I36" s="16" t="s">
        <v>265</v>
      </c>
      <c r="J36" s="4"/>
      <c r="K36" s="4"/>
      <c r="L36" s="131">
        <v>0.09</v>
      </c>
      <c r="M36" s="33" t="s">
        <v>314</v>
      </c>
      <c r="N36" s="34"/>
    </row>
    <row r="37" spans="1:14">
      <c r="A37" s="26" t="s">
        <v>317</v>
      </c>
      <c r="B37" s="24" t="s">
        <v>318</v>
      </c>
      <c r="C37" s="29" t="s">
        <v>286</v>
      </c>
      <c r="D37" s="19" t="s">
        <v>230</v>
      </c>
      <c r="E37" s="30" t="s">
        <v>287</v>
      </c>
      <c r="F37" s="16" t="s">
        <v>227</v>
      </c>
      <c r="G37" s="16" t="s">
        <v>299</v>
      </c>
      <c r="H37" s="16" t="s">
        <v>313</v>
      </c>
      <c r="I37" s="16" t="s">
        <v>265</v>
      </c>
      <c r="J37" s="4"/>
      <c r="K37" s="4"/>
      <c r="L37" s="131">
        <v>0.3</v>
      </c>
      <c r="M37" s="33" t="s">
        <v>314</v>
      </c>
      <c r="N37" s="34"/>
    </row>
    <row r="38" spans="1:14">
      <c r="A38" s="26" t="s">
        <v>319</v>
      </c>
      <c r="B38" s="24" t="s">
        <v>320</v>
      </c>
      <c r="C38" s="29" t="s">
        <v>286</v>
      </c>
      <c r="D38" s="19" t="s">
        <v>230</v>
      </c>
      <c r="E38" s="30" t="s">
        <v>287</v>
      </c>
      <c r="F38" s="16" t="s">
        <v>227</v>
      </c>
      <c r="G38" s="16" t="s">
        <v>299</v>
      </c>
      <c r="H38" s="16" t="s">
        <v>313</v>
      </c>
      <c r="I38" s="16" t="s">
        <v>265</v>
      </c>
      <c r="J38" s="4"/>
      <c r="K38" s="4"/>
      <c r="L38" s="131">
        <v>0.25</v>
      </c>
      <c r="M38" s="33" t="s">
        <v>314</v>
      </c>
      <c r="N38" s="34"/>
    </row>
    <row r="39" spans="1:14">
      <c r="A39" s="26" t="s">
        <v>321</v>
      </c>
      <c r="B39" s="24" t="s">
        <v>322</v>
      </c>
      <c r="C39" s="29" t="s">
        <v>286</v>
      </c>
      <c r="D39" s="19" t="s">
        <v>230</v>
      </c>
      <c r="E39" s="30" t="s">
        <v>287</v>
      </c>
      <c r="F39" s="16" t="s">
        <v>227</v>
      </c>
      <c r="G39" s="16" t="s">
        <v>299</v>
      </c>
      <c r="H39" s="16" t="s">
        <v>313</v>
      </c>
      <c r="I39" s="16" t="s">
        <v>265</v>
      </c>
      <c r="J39" s="4"/>
      <c r="K39" s="4"/>
      <c r="L39" s="131">
        <v>0.06</v>
      </c>
      <c r="M39" s="33" t="s">
        <v>314</v>
      </c>
      <c r="N39" s="34"/>
    </row>
    <row r="40" spans="1:14">
      <c r="A40" s="26" t="s">
        <v>323</v>
      </c>
      <c r="B40" s="24" t="s">
        <v>324</v>
      </c>
      <c r="C40" s="29" t="s">
        <v>286</v>
      </c>
      <c r="D40" s="19" t="s">
        <v>230</v>
      </c>
      <c r="E40" s="30" t="s">
        <v>287</v>
      </c>
      <c r="F40" s="16" t="s">
        <v>227</v>
      </c>
      <c r="G40" s="16" t="s">
        <v>299</v>
      </c>
      <c r="H40" s="16" t="s">
        <v>313</v>
      </c>
      <c r="I40" s="16" t="s">
        <v>265</v>
      </c>
      <c r="J40" s="4"/>
      <c r="K40" s="4"/>
      <c r="L40" s="131">
        <v>0.15</v>
      </c>
      <c r="M40" s="33" t="s">
        <v>314</v>
      </c>
      <c r="N40" s="34"/>
    </row>
    <row r="41" spans="1:14">
      <c r="A41" s="26" t="s">
        <v>325</v>
      </c>
      <c r="B41" s="24" t="s">
        <v>326</v>
      </c>
      <c r="C41" s="29" t="s">
        <v>286</v>
      </c>
      <c r="D41" s="19" t="s">
        <v>230</v>
      </c>
      <c r="E41" s="30" t="s">
        <v>287</v>
      </c>
      <c r="F41" s="16" t="s">
        <v>227</v>
      </c>
      <c r="G41" s="16" t="s">
        <v>299</v>
      </c>
      <c r="H41" s="16" t="s">
        <v>313</v>
      </c>
      <c r="I41" s="16" t="s">
        <v>265</v>
      </c>
      <c r="J41" s="4"/>
      <c r="K41" s="4"/>
      <c r="L41" s="131">
        <v>0.45</v>
      </c>
      <c r="M41" s="33" t="s">
        <v>314</v>
      </c>
      <c r="N41" s="34"/>
    </row>
    <row r="42" spans="1:14">
      <c r="A42" s="26" t="s">
        <v>327</v>
      </c>
      <c r="B42" s="24" t="s">
        <v>328</v>
      </c>
      <c r="C42" s="29" t="s">
        <v>286</v>
      </c>
      <c r="D42" s="19" t="s">
        <v>230</v>
      </c>
      <c r="E42" s="30" t="s">
        <v>287</v>
      </c>
      <c r="F42" s="16" t="s">
        <v>227</v>
      </c>
      <c r="G42" s="16" t="s">
        <v>299</v>
      </c>
      <c r="H42" s="16" t="s">
        <v>313</v>
      </c>
      <c r="I42" s="16" t="s">
        <v>265</v>
      </c>
      <c r="J42" s="4"/>
      <c r="K42" s="4"/>
      <c r="L42" s="131">
        <v>0.9</v>
      </c>
      <c r="M42" s="33" t="s">
        <v>314</v>
      </c>
      <c r="N42" s="34"/>
    </row>
    <row r="43" spans="1:14">
      <c r="A43" s="26" t="s">
        <v>329</v>
      </c>
      <c r="B43" s="24" t="s">
        <v>330</v>
      </c>
      <c r="C43" s="29" t="s">
        <v>286</v>
      </c>
      <c r="D43" s="19" t="s">
        <v>230</v>
      </c>
      <c r="E43" s="30" t="s">
        <v>287</v>
      </c>
      <c r="F43" s="16" t="s">
        <v>227</v>
      </c>
      <c r="G43" s="16" t="s">
        <v>299</v>
      </c>
      <c r="H43" s="16" t="s">
        <v>313</v>
      </c>
      <c r="I43" s="16" t="s">
        <v>265</v>
      </c>
      <c r="J43" s="4"/>
      <c r="K43" s="4"/>
      <c r="L43" s="131">
        <v>0.2</v>
      </c>
      <c r="M43" s="33" t="s">
        <v>314</v>
      </c>
      <c r="N43" s="34"/>
    </row>
    <row r="44" spans="1:14">
      <c r="A44" s="26" t="s">
        <v>331</v>
      </c>
      <c r="B44" s="24" t="s">
        <v>332</v>
      </c>
      <c r="C44" s="29" t="s">
        <v>286</v>
      </c>
      <c r="D44" s="19" t="s">
        <v>230</v>
      </c>
      <c r="E44" s="30" t="s">
        <v>287</v>
      </c>
      <c r="F44" s="16" t="s">
        <v>227</v>
      </c>
      <c r="G44" s="16" t="s">
        <v>299</v>
      </c>
      <c r="H44" s="16" t="s">
        <v>313</v>
      </c>
      <c r="I44" s="16" t="s">
        <v>265</v>
      </c>
      <c r="J44" s="4"/>
      <c r="K44" s="4"/>
      <c r="L44" s="131">
        <v>0.25</v>
      </c>
      <c r="M44" s="33" t="s">
        <v>314</v>
      </c>
      <c r="N44" s="34"/>
    </row>
    <row r="45" spans="1:14">
      <c r="A45" s="26" t="s">
        <v>333</v>
      </c>
      <c r="B45" s="24" t="s">
        <v>334</v>
      </c>
      <c r="C45" s="29" t="s">
        <v>286</v>
      </c>
      <c r="D45" s="19" t="s">
        <v>230</v>
      </c>
      <c r="E45" s="30" t="s">
        <v>287</v>
      </c>
      <c r="F45" s="16" t="s">
        <v>227</v>
      </c>
      <c r="G45" s="16" t="s">
        <v>299</v>
      </c>
      <c r="H45" s="16" t="s">
        <v>313</v>
      </c>
      <c r="I45" s="16" t="s">
        <v>265</v>
      </c>
      <c r="J45" s="4"/>
      <c r="K45" s="4"/>
      <c r="L45" s="131">
        <v>0.3</v>
      </c>
      <c r="M45" s="33" t="s">
        <v>314</v>
      </c>
      <c r="N45" s="34"/>
    </row>
    <row r="46" spans="1:14">
      <c r="A46" s="26" t="s">
        <v>335</v>
      </c>
      <c r="B46" s="24" t="s">
        <v>336</v>
      </c>
      <c r="C46" s="29" t="s">
        <v>286</v>
      </c>
      <c r="D46" s="19" t="s">
        <v>230</v>
      </c>
      <c r="E46" s="30" t="s">
        <v>287</v>
      </c>
      <c r="F46" s="16" t="s">
        <v>227</v>
      </c>
      <c r="G46" s="16" t="s">
        <v>299</v>
      </c>
      <c r="H46" s="16" t="s">
        <v>313</v>
      </c>
      <c r="I46" s="16" t="s">
        <v>265</v>
      </c>
      <c r="J46" s="4"/>
      <c r="K46" s="4"/>
      <c r="L46" s="131">
        <v>0.3</v>
      </c>
      <c r="M46" s="33" t="s">
        <v>314</v>
      </c>
      <c r="N46" s="34"/>
    </row>
    <row r="47" spans="1:14">
      <c r="A47" s="26" t="s">
        <v>337</v>
      </c>
      <c r="B47" s="24" t="s">
        <v>338</v>
      </c>
      <c r="C47" s="29" t="s">
        <v>286</v>
      </c>
      <c r="D47" s="19" t="s">
        <v>230</v>
      </c>
      <c r="E47" s="30" t="s">
        <v>287</v>
      </c>
      <c r="F47" s="16" t="s">
        <v>227</v>
      </c>
      <c r="G47" s="16" t="s">
        <v>299</v>
      </c>
      <c r="H47" s="16" t="s">
        <v>313</v>
      </c>
      <c r="I47" s="16" t="s">
        <v>265</v>
      </c>
      <c r="J47" s="4"/>
      <c r="K47" s="4"/>
      <c r="L47" s="131">
        <v>0.3</v>
      </c>
      <c r="M47" s="33" t="s">
        <v>314</v>
      </c>
      <c r="N47" s="34"/>
    </row>
    <row r="48" spans="1:14">
      <c r="A48" s="26" t="s">
        <v>339</v>
      </c>
      <c r="B48" s="24" t="s">
        <v>340</v>
      </c>
      <c r="C48" s="29" t="s">
        <v>286</v>
      </c>
      <c r="D48" s="19" t="s">
        <v>231</v>
      </c>
      <c r="E48" s="30" t="s">
        <v>287</v>
      </c>
      <c r="F48" s="16" t="s">
        <v>227</v>
      </c>
      <c r="G48" s="16" t="s">
        <v>299</v>
      </c>
      <c r="H48" s="16" t="s">
        <v>313</v>
      </c>
      <c r="I48" s="16" t="s">
        <v>265</v>
      </c>
      <c r="J48" s="4"/>
      <c r="K48" s="4"/>
      <c r="L48" s="131">
        <v>0.2</v>
      </c>
      <c r="M48" s="33" t="s">
        <v>314</v>
      </c>
      <c r="N48" s="34"/>
    </row>
    <row r="49" spans="1:14">
      <c r="A49" s="26" t="s">
        <v>341</v>
      </c>
      <c r="B49" s="24" t="s">
        <v>342</v>
      </c>
      <c r="C49" s="29" t="s">
        <v>286</v>
      </c>
      <c r="D49" s="19" t="s">
        <v>231</v>
      </c>
      <c r="E49" s="30" t="s">
        <v>287</v>
      </c>
      <c r="F49" s="16" t="s">
        <v>227</v>
      </c>
      <c r="G49" s="16" t="s">
        <v>299</v>
      </c>
      <c r="H49" s="16" t="s">
        <v>313</v>
      </c>
      <c r="I49" s="16" t="s">
        <v>265</v>
      </c>
      <c r="J49" s="4"/>
      <c r="K49" s="4"/>
      <c r="L49" s="131">
        <v>0.2</v>
      </c>
      <c r="M49" s="33" t="s">
        <v>314</v>
      </c>
      <c r="N49" s="34"/>
    </row>
    <row r="50" spans="1:14">
      <c r="A50" s="26" t="s">
        <v>343</v>
      </c>
      <c r="B50" s="24" t="s">
        <v>344</v>
      </c>
      <c r="C50" s="29" t="s">
        <v>286</v>
      </c>
      <c r="D50" s="19" t="s">
        <v>231</v>
      </c>
      <c r="E50" s="30" t="s">
        <v>287</v>
      </c>
      <c r="F50" s="16" t="s">
        <v>227</v>
      </c>
      <c r="G50" s="16" t="s">
        <v>299</v>
      </c>
      <c r="H50" s="16" t="s">
        <v>313</v>
      </c>
      <c r="I50" s="16" t="s">
        <v>265</v>
      </c>
      <c r="J50" s="4"/>
      <c r="K50" s="4"/>
      <c r="L50" s="131">
        <v>0.25</v>
      </c>
      <c r="M50" s="33" t="s">
        <v>314</v>
      </c>
      <c r="N50" s="34"/>
    </row>
    <row r="51" spans="1:14">
      <c r="A51" s="26" t="s">
        <v>345</v>
      </c>
      <c r="B51" s="24" t="s">
        <v>346</v>
      </c>
      <c r="C51" s="29" t="s">
        <v>286</v>
      </c>
      <c r="D51" s="19" t="s">
        <v>231</v>
      </c>
      <c r="E51" s="30" t="s">
        <v>287</v>
      </c>
      <c r="F51" s="16" t="s">
        <v>227</v>
      </c>
      <c r="G51" s="16" t="s">
        <v>299</v>
      </c>
      <c r="H51" s="16" t="s">
        <v>313</v>
      </c>
      <c r="I51" s="16" t="s">
        <v>265</v>
      </c>
      <c r="J51" s="4"/>
      <c r="K51" s="4"/>
      <c r="L51" s="131">
        <v>0.25</v>
      </c>
      <c r="M51" s="33" t="s">
        <v>314</v>
      </c>
      <c r="N51" s="34"/>
    </row>
    <row r="52" spans="1:14">
      <c r="A52" s="26" t="s">
        <v>347</v>
      </c>
      <c r="B52" s="24" t="s">
        <v>348</v>
      </c>
      <c r="C52" s="29" t="s">
        <v>286</v>
      </c>
      <c r="D52" s="19" t="s">
        <v>231</v>
      </c>
      <c r="E52" s="30" t="s">
        <v>287</v>
      </c>
      <c r="F52" s="16" t="s">
        <v>227</v>
      </c>
      <c r="G52" s="16" t="s">
        <v>299</v>
      </c>
      <c r="H52" s="16" t="s">
        <v>313</v>
      </c>
      <c r="I52" s="16" t="s">
        <v>265</v>
      </c>
      <c r="J52" s="4"/>
      <c r="K52" s="4"/>
      <c r="L52" s="131">
        <v>0.15</v>
      </c>
      <c r="M52" s="33" t="s">
        <v>314</v>
      </c>
      <c r="N52" s="34"/>
    </row>
    <row r="53" spans="1:14">
      <c r="A53" s="26" t="s">
        <v>349</v>
      </c>
      <c r="B53" s="24" t="s">
        <v>350</v>
      </c>
      <c r="C53" s="29" t="s">
        <v>286</v>
      </c>
      <c r="D53" s="19" t="s">
        <v>231</v>
      </c>
      <c r="E53" s="30" t="s">
        <v>287</v>
      </c>
      <c r="F53" s="16" t="s">
        <v>227</v>
      </c>
      <c r="G53" s="16" t="s">
        <v>299</v>
      </c>
      <c r="H53" s="16" t="s">
        <v>313</v>
      </c>
      <c r="I53" s="16" t="s">
        <v>265</v>
      </c>
      <c r="J53" s="4"/>
      <c r="K53" s="4"/>
      <c r="L53" s="131">
        <v>0.2</v>
      </c>
      <c r="M53" s="33" t="s">
        <v>314</v>
      </c>
      <c r="N53" s="34"/>
    </row>
    <row r="54" spans="1:14">
      <c r="A54" s="26" t="s">
        <v>351</v>
      </c>
      <c r="B54" s="24" t="s">
        <v>352</v>
      </c>
      <c r="C54" s="29" t="s">
        <v>286</v>
      </c>
      <c r="D54" s="19" t="s">
        <v>231</v>
      </c>
      <c r="E54" s="30" t="s">
        <v>287</v>
      </c>
      <c r="F54" s="16" t="s">
        <v>227</v>
      </c>
      <c r="G54" s="16" t="s">
        <v>299</v>
      </c>
      <c r="H54" s="16" t="s">
        <v>313</v>
      </c>
      <c r="I54" s="16" t="s">
        <v>265</v>
      </c>
      <c r="J54" s="4"/>
      <c r="K54" s="4"/>
      <c r="L54" s="131">
        <v>0.4</v>
      </c>
      <c r="M54" s="33" t="s">
        <v>314</v>
      </c>
      <c r="N54" s="34"/>
    </row>
    <row r="55" spans="1:14">
      <c r="A55" s="26" t="s">
        <v>353</v>
      </c>
      <c r="B55" s="24" t="s">
        <v>354</v>
      </c>
      <c r="C55" s="29" t="s">
        <v>286</v>
      </c>
      <c r="D55" s="19" t="s">
        <v>231</v>
      </c>
      <c r="E55" s="30" t="s">
        <v>287</v>
      </c>
      <c r="F55" s="16" t="s">
        <v>227</v>
      </c>
      <c r="G55" s="16" t="s">
        <v>299</v>
      </c>
      <c r="H55" s="16" t="s">
        <v>313</v>
      </c>
      <c r="I55" s="16" t="s">
        <v>265</v>
      </c>
      <c r="J55" s="4"/>
      <c r="K55" s="4"/>
      <c r="L55" s="131">
        <v>0.4</v>
      </c>
      <c r="M55" s="33" t="s">
        <v>314</v>
      </c>
      <c r="N55" s="34"/>
    </row>
    <row r="56" spans="1:14">
      <c r="A56" s="26" t="s">
        <v>355</v>
      </c>
      <c r="B56" s="24" t="s">
        <v>356</v>
      </c>
      <c r="C56" s="29" t="s">
        <v>286</v>
      </c>
      <c r="D56" s="19" t="s">
        <v>231</v>
      </c>
      <c r="E56" s="30" t="s">
        <v>287</v>
      </c>
      <c r="F56" s="16" t="s">
        <v>227</v>
      </c>
      <c r="G56" s="16" t="s">
        <v>299</v>
      </c>
      <c r="H56" s="16" t="s">
        <v>313</v>
      </c>
      <c r="I56" s="16" t="s">
        <v>265</v>
      </c>
      <c r="J56" s="4"/>
      <c r="K56" s="4"/>
      <c r="L56" s="131">
        <v>0.2</v>
      </c>
      <c r="M56" s="33" t="s">
        <v>314</v>
      </c>
      <c r="N56" s="34"/>
    </row>
    <row r="57" spans="1:14">
      <c r="A57" s="26" t="s">
        <v>357</v>
      </c>
      <c r="B57" s="24" t="s">
        <v>358</v>
      </c>
      <c r="C57" s="29" t="s">
        <v>286</v>
      </c>
      <c r="D57" s="19" t="s">
        <v>232</v>
      </c>
      <c r="E57" s="30" t="s">
        <v>359</v>
      </c>
      <c r="F57" s="16" t="s">
        <v>227</v>
      </c>
      <c r="G57" s="16" t="s">
        <v>299</v>
      </c>
      <c r="H57" s="16" t="s">
        <v>313</v>
      </c>
      <c r="I57" s="16" t="s">
        <v>265</v>
      </c>
      <c r="J57" s="4"/>
      <c r="K57" s="4"/>
      <c r="L57" s="131">
        <v>0.4</v>
      </c>
      <c r="M57" s="33" t="s">
        <v>314</v>
      </c>
      <c r="N57" s="34"/>
    </row>
    <row r="58" spans="1:14">
      <c r="A58" s="26" t="s">
        <v>360</v>
      </c>
      <c r="B58" s="24" t="s">
        <v>361</v>
      </c>
      <c r="C58" s="29" t="s">
        <v>286</v>
      </c>
      <c r="D58" s="19" t="s">
        <v>232</v>
      </c>
      <c r="E58" s="30" t="s">
        <v>359</v>
      </c>
      <c r="F58" s="16" t="s">
        <v>227</v>
      </c>
      <c r="G58" s="16" t="s">
        <v>299</v>
      </c>
      <c r="H58" s="16" t="s">
        <v>313</v>
      </c>
      <c r="I58" s="16" t="s">
        <v>265</v>
      </c>
      <c r="J58" s="4"/>
      <c r="K58" s="4"/>
      <c r="L58" s="131">
        <v>0.4</v>
      </c>
      <c r="M58" s="33" t="s">
        <v>314</v>
      </c>
      <c r="N58" s="34"/>
    </row>
    <row r="59" spans="1:14">
      <c r="A59" s="26" t="s">
        <v>362</v>
      </c>
      <c r="B59" s="24" t="s">
        <v>363</v>
      </c>
      <c r="C59" s="29" t="s">
        <v>286</v>
      </c>
      <c r="D59" s="19" t="s">
        <v>232</v>
      </c>
      <c r="E59" s="30" t="s">
        <v>359</v>
      </c>
      <c r="F59" s="16" t="s">
        <v>227</v>
      </c>
      <c r="G59" s="16" t="s">
        <v>299</v>
      </c>
      <c r="H59" s="16" t="s">
        <v>313</v>
      </c>
      <c r="I59" s="16" t="s">
        <v>265</v>
      </c>
      <c r="J59" s="4"/>
      <c r="K59" s="4"/>
      <c r="L59" s="131">
        <v>0.6</v>
      </c>
      <c r="M59" s="33" t="s">
        <v>314</v>
      </c>
      <c r="N59" s="34"/>
    </row>
    <row r="60" spans="1:14">
      <c r="A60" s="26" t="s">
        <v>364</v>
      </c>
      <c r="B60" s="24" t="s">
        <v>365</v>
      </c>
      <c r="C60" s="29" t="s">
        <v>286</v>
      </c>
      <c r="D60" s="19" t="s">
        <v>232</v>
      </c>
      <c r="E60" s="30" t="s">
        <v>359</v>
      </c>
      <c r="F60" s="16" t="s">
        <v>227</v>
      </c>
      <c r="G60" s="16" t="s">
        <v>299</v>
      </c>
      <c r="H60" s="16" t="s">
        <v>313</v>
      </c>
      <c r="I60" s="16" t="s">
        <v>265</v>
      </c>
      <c r="J60" s="4"/>
      <c r="K60" s="4"/>
      <c r="L60" s="131">
        <v>0.9</v>
      </c>
      <c r="M60" s="33" t="s">
        <v>314</v>
      </c>
      <c r="N60" s="34"/>
    </row>
    <row r="61" spans="1:14">
      <c r="A61" s="26" t="s">
        <v>366</v>
      </c>
      <c r="B61" s="24" t="s">
        <v>367</v>
      </c>
      <c r="C61" s="29" t="s">
        <v>286</v>
      </c>
      <c r="D61" s="19" t="s">
        <v>232</v>
      </c>
      <c r="E61" s="30" t="s">
        <v>359</v>
      </c>
      <c r="F61" s="16" t="s">
        <v>227</v>
      </c>
      <c r="G61" s="16" t="s">
        <v>299</v>
      </c>
      <c r="H61" s="16" t="s">
        <v>313</v>
      </c>
      <c r="I61" s="16" t="s">
        <v>265</v>
      </c>
      <c r="J61" s="4"/>
      <c r="K61" s="4"/>
      <c r="L61" s="131">
        <v>0.45</v>
      </c>
      <c r="M61" s="33" t="s">
        <v>314</v>
      </c>
      <c r="N61" s="34"/>
    </row>
    <row r="62" spans="1:14">
      <c r="A62" s="26" t="s">
        <v>368</v>
      </c>
      <c r="B62" s="24" t="s">
        <v>369</v>
      </c>
      <c r="C62" s="29" t="s">
        <v>286</v>
      </c>
      <c r="D62" s="19" t="s">
        <v>232</v>
      </c>
      <c r="E62" s="30" t="s">
        <v>287</v>
      </c>
      <c r="F62" s="16" t="s">
        <v>227</v>
      </c>
      <c r="G62" s="16" t="s">
        <v>299</v>
      </c>
      <c r="H62" s="16" t="s">
        <v>313</v>
      </c>
      <c r="I62" s="16" t="s">
        <v>265</v>
      </c>
      <c r="J62" s="4"/>
      <c r="K62" s="4"/>
      <c r="L62" s="131">
        <v>0.1</v>
      </c>
      <c r="M62" s="33" t="s">
        <v>314</v>
      </c>
      <c r="N62" s="34"/>
    </row>
    <row r="63" spans="1:14">
      <c r="A63" s="26" t="s">
        <v>370</v>
      </c>
      <c r="B63" s="24" t="s">
        <v>371</v>
      </c>
      <c r="C63" s="29" t="s">
        <v>286</v>
      </c>
      <c r="D63" s="19" t="s">
        <v>232</v>
      </c>
      <c r="E63" s="30" t="s">
        <v>287</v>
      </c>
      <c r="F63" s="16" t="s">
        <v>227</v>
      </c>
      <c r="G63" s="16" t="s">
        <v>299</v>
      </c>
      <c r="H63" s="16" t="s">
        <v>313</v>
      </c>
      <c r="I63" s="16" t="s">
        <v>265</v>
      </c>
      <c r="J63" s="4"/>
      <c r="K63" s="4"/>
      <c r="L63" s="131">
        <v>0.15</v>
      </c>
      <c r="M63" s="33" t="s">
        <v>314</v>
      </c>
      <c r="N63" s="34"/>
    </row>
    <row r="64" spans="1:14">
      <c r="A64" s="26" t="s">
        <v>372</v>
      </c>
      <c r="B64" s="24" t="s">
        <v>373</v>
      </c>
      <c r="C64" s="29" t="s">
        <v>286</v>
      </c>
      <c r="D64" s="19" t="s">
        <v>233</v>
      </c>
      <c r="E64" s="30" t="s">
        <v>359</v>
      </c>
      <c r="F64" s="16" t="s">
        <v>227</v>
      </c>
      <c r="G64" s="16" t="s">
        <v>95</v>
      </c>
      <c r="H64" s="16" t="s">
        <v>313</v>
      </c>
      <c r="I64" s="16" t="s">
        <v>265</v>
      </c>
      <c r="J64" s="4"/>
      <c r="K64" s="4"/>
      <c r="L64" s="131">
        <v>0.2</v>
      </c>
      <c r="M64" s="33" t="s">
        <v>314</v>
      </c>
      <c r="N64" s="34"/>
    </row>
    <row r="65" spans="1:14">
      <c r="A65" s="26" t="s">
        <v>374</v>
      </c>
      <c r="B65" s="24" t="s">
        <v>375</v>
      </c>
      <c r="C65" s="29" t="s">
        <v>286</v>
      </c>
      <c r="D65" s="19" t="s">
        <v>233</v>
      </c>
      <c r="E65" s="30" t="s">
        <v>359</v>
      </c>
      <c r="F65" s="16" t="s">
        <v>227</v>
      </c>
      <c r="G65" s="16" t="s">
        <v>95</v>
      </c>
      <c r="H65" s="16" t="s">
        <v>313</v>
      </c>
      <c r="I65" s="16" t="s">
        <v>265</v>
      </c>
      <c r="J65" s="4"/>
      <c r="K65" s="4"/>
      <c r="L65" s="131">
        <v>0.15</v>
      </c>
      <c r="M65" s="33" t="s">
        <v>314</v>
      </c>
      <c r="N65" s="34"/>
    </row>
    <row r="66" spans="1:14">
      <c r="A66" s="26" t="s">
        <v>376</v>
      </c>
      <c r="B66" s="24" t="s">
        <v>377</v>
      </c>
      <c r="C66" s="29" t="s">
        <v>286</v>
      </c>
      <c r="D66" s="19" t="s">
        <v>233</v>
      </c>
      <c r="E66" s="30" t="s">
        <v>359</v>
      </c>
      <c r="F66" s="16" t="s">
        <v>227</v>
      </c>
      <c r="G66" s="16" t="s">
        <v>95</v>
      </c>
      <c r="H66" s="16" t="s">
        <v>313</v>
      </c>
      <c r="I66" s="16" t="s">
        <v>265</v>
      </c>
      <c r="J66" s="4"/>
      <c r="K66" s="4"/>
      <c r="L66" s="131">
        <v>0.2</v>
      </c>
      <c r="M66" s="33" t="s">
        <v>314</v>
      </c>
      <c r="N66" s="34"/>
    </row>
    <row r="67" spans="1:14">
      <c r="A67" s="26" t="s">
        <v>378</v>
      </c>
      <c r="B67" s="24" t="s">
        <v>379</v>
      </c>
      <c r="C67" s="29" t="s">
        <v>286</v>
      </c>
      <c r="D67" s="19" t="s">
        <v>233</v>
      </c>
      <c r="E67" s="30" t="s">
        <v>359</v>
      </c>
      <c r="F67" s="16" t="s">
        <v>227</v>
      </c>
      <c r="G67" s="16" t="s">
        <v>95</v>
      </c>
      <c r="H67" s="16" t="s">
        <v>313</v>
      </c>
      <c r="I67" s="16" t="s">
        <v>265</v>
      </c>
      <c r="J67" s="4"/>
      <c r="K67" s="4"/>
      <c r="L67" s="131">
        <v>0.2</v>
      </c>
      <c r="M67" s="33" t="s">
        <v>314</v>
      </c>
      <c r="N67" s="34"/>
    </row>
    <row r="68" spans="1:14">
      <c r="A68" s="26" t="s">
        <v>380</v>
      </c>
      <c r="B68" s="24" t="s">
        <v>381</v>
      </c>
      <c r="C68" s="29" t="s">
        <v>286</v>
      </c>
      <c r="D68" s="19" t="s">
        <v>233</v>
      </c>
      <c r="E68" s="30" t="s">
        <v>359</v>
      </c>
      <c r="F68" s="16" t="s">
        <v>227</v>
      </c>
      <c r="G68" s="16" t="s">
        <v>95</v>
      </c>
      <c r="H68" s="16" t="s">
        <v>313</v>
      </c>
      <c r="I68" s="16" t="s">
        <v>265</v>
      </c>
      <c r="J68" s="4"/>
      <c r="K68" s="4"/>
      <c r="L68" s="131">
        <v>0.1</v>
      </c>
      <c r="M68" s="33" t="s">
        <v>314</v>
      </c>
      <c r="N68" s="34"/>
    </row>
    <row r="69" spans="1:14">
      <c r="A69" s="26" t="s">
        <v>382</v>
      </c>
      <c r="B69" s="24" t="s">
        <v>383</v>
      </c>
      <c r="C69" s="35" t="s">
        <v>384</v>
      </c>
      <c r="D69" s="19" t="s">
        <v>385</v>
      </c>
      <c r="E69" s="36" t="s">
        <v>299</v>
      </c>
      <c r="F69" s="16" t="s">
        <v>299</v>
      </c>
      <c r="G69" s="16" t="s">
        <v>299</v>
      </c>
      <c r="H69" s="16" t="s">
        <v>299</v>
      </c>
      <c r="I69" s="16" t="s">
        <v>265</v>
      </c>
      <c r="J69" s="4"/>
      <c r="K69" s="4"/>
      <c r="L69" s="132"/>
      <c r="M69" s="33" t="s">
        <v>386</v>
      </c>
      <c r="N69" s="34"/>
    </row>
    <row r="70" spans="1:14">
      <c r="A70" s="26" t="s">
        <v>387</v>
      </c>
      <c r="B70" s="24" t="s">
        <v>388</v>
      </c>
      <c r="C70" s="35" t="s">
        <v>384</v>
      </c>
      <c r="D70" s="19" t="s">
        <v>385</v>
      </c>
      <c r="E70" s="36" t="s">
        <v>299</v>
      </c>
      <c r="F70" s="16" t="s">
        <v>299</v>
      </c>
      <c r="G70" s="16" t="s">
        <v>299</v>
      </c>
      <c r="H70" s="16" t="s">
        <v>299</v>
      </c>
      <c r="I70" s="16" t="s">
        <v>265</v>
      </c>
      <c r="J70" s="4"/>
      <c r="K70" s="4"/>
      <c r="L70" s="132"/>
      <c r="M70" s="33" t="s">
        <v>386</v>
      </c>
      <c r="N70" s="34"/>
    </row>
    <row r="71" spans="1:14">
      <c r="A71" s="26" t="s">
        <v>389</v>
      </c>
      <c r="B71" s="24" t="s">
        <v>390</v>
      </c>
      <c r="C71" s="35" t="s">
        <v>384</v>
      </c>
      <c r="D71" s="19" t="s">
        <v>385</v>
      </c>
      <c r="E71" s="36" t="s">
        <v>299</v>
      </c>
      <c r="F71" s="16" t="s">
        <v>299</v>
      </c>
      <c r="G71" s="16" t="s">
        <v>299</v>
      </c>
      <c r="H71" s="16" t="s">
        <v>299</v>
      </c>
      <c r="I71" s="16" t="s">
        <v>265</v>
      </c>
      <c r="J71" s="4"/>
      <c r="K71" s="4"/>
      <c r="L71" s="132"/>
      <c r="M71" s="33" t="s">
        <v>386</v>
      </c>
      <c r="N71" s="34"/>
    </row>
    <row r="72" spans="1:14">
      <c r="A72" s="26" t="s">
        <v>391</v>
      </c>
      <c r="B72" s="24" t="s">
        <v>392</v>
      </c>
      <c r="C72" s="29" t="s">
        <v>286</v>
      </c>
      <c r="D72" s="19" t="s">
        <v>232</v>
      </c>
      <c r="E72" s="30" t="s">
        <v>287</v>
      </c>
      <c r="F72" s="16" t="s">
        <v>227</v>
      </c>
      <c r="G72" s="16" t="s">
        <v>299</v>
      </c>
      <c r="H72" s="16" t="s">
        <v>313</v>
      </c>
      <c r="I72" s="16" t="s">
        <v>265</v>
      </c>
      <c r="J72" s="4"/>
      <c r="K72" s="4"/>
      <c r="L72" s="131">
        <v>0.2</v>
      </c>
      <c r="M72" s="33" t="s">
        <v>314</v>
      </c>
      <c r="N72" s="34"/>
    </row>
    <row r="73" spans="1:14">
      <c r="A73" s="26" t="s">
        <v>393</v>
      </c>
      <c r="B73" s="24" t="s">
        <v>394</v>
      </c>
      <c r="C73" s="29" t="s">
        <v>286</v>
      </c>
      <c r="D73" s="19" t="s">
        <v>232</v>
      </c>
      <c r="E73" s="30" t="s">
        <v>287</v>
      </c>
      <c r="F73" s="16" t="s">
        <v>227</v>
      </c>
      <c r="G73" s="16" t="s">
        <v>299</v>
      </c>
      <c r="H73" s="16" t="s">
        <v>313</v>
      </c>
      <c r="I73" s="16" t="s">
        <v>265</v>
      </c>
      <c r="J73" s="4"/>
      <c r="K73" s="4"/>
      <c r="L73" s="131">
        <v>0.2</v>
      </c>
      <c r="M73" s="33" t="s">
        <v>314</v>
      </c>
      <c r="N73" s="34"/>
    </row>
    <row r="74" spans="1:14">
      <c r="A74" s="26" t="s">
        <v>395</v>
      </c>
      <c r="B74" s="24" t="s">
        <v>396</v>
      </c>
      <c r="C74" s="29" t="s">
        <v>286</v>
      </c>
      <c r="D74" s="19" t="s">
        <v>231</v>
      </c>
      <c r="E74" s="30" t="s">
        <v>287</v>
      </c>
      <c r="F74" s="16" t="s">
        <v>227</v>
      </c>
      <c r="G74" s="16" t="s">
        <v>299</v>
      </c>
      <c r="H74" s="16" t="s">
        <v>313</v>
      </c>
      <c r="I74" s="16" t="s">
        <v>265</v>
      </c>
      <c r="J74" s="4"/>
      <c r="K74" s="4"/>
      <c r="L74" s="131">
        <v>0.2</v>
      </c>
      <c r="M74" s="33" t="s">
        <v>314</v>
      </c>
      <c r="N74" s="34"/>
    </row>
    <row r="75" spans="1:14">
      <c r="A75" s="26" t="s">
        <v>397</v>
      </c>
      <c r="B75" s="24" t="s">
        <v>398</v>
      </c>
      <c r="C75" s="29" t="s">
        <v>286</v>
      </c>
      <c r="D75" s="19" t="s">
        <v>229</v>
      </c>
      <c r="E75" s="30" t="s">
        <v>287</v>
      </c>
      <c r="F75" s="16" t="s">
        <v>227</v>
      </c>
      <c r="G75" s="16" t="s">
        <v>299</v>
      </c>
      <c r="H75" s="16" t="s">
        <v>313</v>
      </c>
      <c r="I75" s="16" t="s">
        <v>265</v>
      </c>
      <c r="J75" s="4"/>
      <c r="K75" s="4"/>
      <c r="L75" s="131">
        <v>0.2</v>
      </c>
      <c r="M75" s="33" t="s">
        <v>314</v>
      </c>
      <c r="N75" s="34"/>
    </row>
    <row r="76" spans="1:14">
      <c r="A76" s="26" t="s">
        <v>399</v>
      </c>
      <c r="B76" s="24" t="s">
        <v>400</v>
      </c>
      <c r="C76" s="29" t="s">
        <v>286</v>
      </c>
      <c r="D76" s="19" t="s">
        <v>232</v>
      </c>
      <c r="E76" s="30" t="s">
        <v>287</v>
      </c>
      <c r="F76" s="16" t="s">
        <v>227</v>
      </c>
      <c r="G76" s="16" t="s">
        <v>299</v>
      </c>
      <c r="H76" s="16" t="s">
        <v>313</v>
      </c>
      <c r="I76" s="16" t="s">
        <v>265</v>
      </c>
      <c r="J76" s="4"/>
      <c r="K76" s="4"/>
      <c r="L76" s="131">
        <v>0.2</v>
      </c>
      <c r="M76" s="33" t="s">
        <v>314</v>
      </c>
      <c r="N76" s="34"/>
    </row>
    <row r="77" spans="1:14">
      <c r="A77" s="26" t="s">
        <v>401</v>
      </c>
      <c r="B77" s="24" t="s">
        <v>402</v>
      </c>
      <c r="C77" s="37" t="s">
        <v>403</v>
      </c>
      <c r="D77" s="19" t="s">
        <v>404</v>
      </c>
      <c r="E77" s="38" t="s">
        <v>405</v>
      </c>
      <c r="F77" s="16" t="s">
        <v>299</v>
      </c>
      <c r="G77" s="16" t="s">
        <v>113</v>
      </c>
      <c r="H77" s="16" t="s">
        <v>299</v>
      </c>
      <c r="I77" s="16" t="s">
        <v>265</v>
      </c>
      <c r="J77" s="4"/>
      <c r="K77" s="4"/>
      <c r="L77" s="132"/>
      <c r="M77" s="33" t="s">
        <v>406</v>
      </c>
      <c r="N77" s="34"/>
    </row>
    <row r="78" spans="1:14">
      <c r="A78" s="26" t="s">
        <v>407</v>
      </c>
      <c r="B78" s="24" t="s">
        <v>408</v>
      </c>
      <c r="C78" s="37" t="s">
        <v>403</v>
      </c>
      <c r="D78" s="19" t="s">
        <v>404</v>
      </c>
      <c r="E78" s="38" t="s">
        <v>405</v>
      </c>
      <c r="F78" s="16" t="s">
        <v>299</v>
      </c>
      <c r="G78" s="16" t="s">
        <v>113</v>
      </c>
      <c r="H78" s="16" t="s">
        <v>299</v>
      </c>
      <c r="I78" s="16" t="s">
        <v>265</v>
      </c>
      <c r="J78" s="4"/>
      <c r="K78" s="4"/>
      <c r="L78" s="132"/>
      <c r="M78" s="33" t="s">
        <v>406</v>
      </c>
      <c r="N78" s="34"/>
    </row>
    <row r="79" spans="1:14">
      <c r="A79" s="26" t="s">
        <v>409</v>
      </c>
      <c r="B79" s="24" t="s">
        <v>410</v>
      </c>
      <c r="C79" s="37" t="s">
        <v>403</v>
      </c>
      <c r="D79" s="19" t="s">
        <v>411</v>
      </c>
      <c r="E79" s="38" t="s">
        <v>405</v>
      </c>
      <c r="F79" s="16" t="s">
        <v>299</v>
      </c>
      <c r="G79" s="16" t="s">
        <v>113</v>
      </c>
      <c r="H79" s="16" t="s">
        <v>299</v>
      </c>
      <c r="I79" s="16" t="s">
        <v>265</v>
      </c>
      <c r="J79" s="4"/>
      <c r="K79" s="4"/>
      <c r="L79" s="132"/>
      <c r="M79" s="33" t="s">
        <v>406</v>
      </c>
      <c r="N79" s="34"/>
    </row>
    <row r="80" spans="1:14">
      <c r="A80" s="26" t="s">
        <v>412</v>
      </c>
      <c r="B80" s="24" t="s">
        <v>413</v>
      </c>
      <c r="C80" s="37" t="s">
        <v>403</v>
      </c>
      <c r="D80" s="19" t="s">
        <v>404</v>
      </c>
      <c r="E80" s="38" t="s">
        <v>405</v>
      </c>
      <c r="F80" s="16" t="s">
        <v>299</v>
      </c>
      <c r="G80" s="16" t="s">
        <v>113</v>
      </c>
      <c r="H80" s="16" t="s">
        <v>299</v>
      </c>
      <c r="I80" s="16" t="s">
        <v>265</v>
      </c>
      <c r="J80" s="4"/>
      <c r="K80" s="4"/>
      <c r="L80" s="132"/>
      <c r="M80" s="33" t="s">
        <v>406</v>
      </c>
      <c r="N80" s="34"/>
    </row>
    <row r="81" spans="1:14">
      <c r="A81" s="26" t="s">
        <v>414</v>
      </c>
      <c r="B81" s="24" t="s">
        <v>415</v>
      </c>
      <c r="C81" s="37" t="s">
        <v>403</v>
      </c>
      <c r="D81" s="19" t="s">
        <v>416</v>
      </c>
      <c r="E81" s="38" t="s">
        <v>405</v>
      </c>
      <c r="F81" s="16" t="s">
        <v>299</v>
      </c>
      <c r="G81" s="16" t="s">
        <v>113</v>
      </c>
      <c r="H81" s="16" t="s">
        <v>299</v>
      </c>
      <c r="I81" s="16" t="s">
        <v>265</v>
      </c>
      <c r="J81" s="4"/>
      <c r="K81" s="4"/>
      <c r="L81" s="132"/>
      <c r="M81" s="33" t="s">
        <v>417</v>
      </c>
      <c r="N81" s="34"/>
    </row>
    <row r="82" spans="1:14">
      <c r="A82" s="26" t="s">
        <v>418</v>
      </c>
      <c r="B82" s="24" t="s">
        <v>419</v>
      </c>
      <c r="C82" s="37" t="s">
        <v>403</v>
      </c>
      <c r="D82" s="19" t="s">
        <v>420</v>
      </c>
      <c r="E82" s="38" t="s">
        <v>405</v>
      </c>
      <c r="F82" s="16" t="s">
        <v>299</v>
      </c>
      <c r="G82" s="16" t="s">
        <v>113</v>
      </c>
      <c r="H82" s="16" t="s">
        <v>299</v>
      </c>
      <c r="I82" s="16" t="s">
        <v>265</v>
      </c>
      <c r="J82" s="4"/>
      <c r="K82" s="4"/>
      <c r="L82" s="132"/>
      <c r="M82" s="33" t="s">
        <v>421</v>
      </c>
      <c r="N82" s="34"/>
    </row>
    <row r="83" spans="1:14">
      <c r="A83" s="26" t="s">
        <v>422</v>
      </c>
      <c r="B83" s="24" t="s">
        <v>423</v>
      </c>
      <c r="C83" s="37" t="s">
        <v>403</v>
      </c>
      <c r="D83" s="19" t="s">
        <v>420</v>
      </c>
      <c r="E83" s="38" t="s">
        <v>405</v>
      </c>
      <c r="F83" s="16" t="s">
        <v>299</v>
      </c>
      <c r="G83" s="16" t="s">
        <v>113</v>
      </c>
      <c r="H83" s="16" t="s">
        <v>299</v>
      </c>
      <c r="I83" s="16" t="s">
        <v>265</v>
      </c>
      <c r="J83" s="4"/>
      <c r="K83" s="4"/>
      <c r="L83" s="132"/>
      <c r="M83" s="33" t="s">
        <v>421</v>
      </c>
      <c r="N83" s="34"/>
    </row>
    <row r="84" spans="1:14">
      <c r="A84" s="26" t="s">
        <v>424</v>
      </c>
      <c r="B84" s="24" t="s">
        <v>425</v>
      </c>
      <c r="C84" s="37" t="s">
        <v>403</v>
      </c>
      <c r="D84" s="19" t="s">
        <v>426</v>
      </c>
      <c r="E84" s="38" t="s">
        <v>405</v>
      </c>
      <c r="F84" s="16" t="s">
        <v>299</v>
      </c>
      <c r="G84" s="16" t="s">
        <v>113</v>
      </c>
      <c r="H84" s="16" t="s">
        <v>299</v>
      </c>
      <c r="I84" s="16" t="s">
        <v>265</v>
      </c>
      <c r="J84" s="4"/>
      <c r="K84" s="4"/>
      <c r="L84" s="132"/>
      <c r="M84" s="33" t="s">
        <v>421</v>
      </c>
      <c r="N84" s="34"/>
    </row>
    <row r="85" spans="1:14">
      <c r="A85" s="26" t="s">
        <v>427</v>
      </c>
      <c r="B85" s="24" t="s">
        <v>428</v>
      </c>
      <c r="C85" s="37" t="s">
        <v>403</v>
      </c>
      <c r="D85" s="19" t="s">
        <v>426</v>
      </c>
      <c r="E85" s="38" t="s">
        <v>405</v>
      </c>
      <c r="F85" s="16" t="s">
        <v>299</v>
      </c>
      <c r="G85" s="16" t="s">
        <v>113</v>
      </c>
      <c r="H85" s="16" t="s">
        <v>299</v>
      </c>
      <c r="I85" s="16" t="s">
        <v>265</v>
      </c>
      <c r="J85" s="4"/>
      <c r="K85" s="4"/>
      <c r="L85" s="132"/>
      <c r="M85" s="33" t="s">
        <v>421</v>
      </c>
      <c r="N85" s="34"/>
    </row>
    <row r="86" spans="1:14">
      <c r="A86" s="26" t="s">
        <v>429</v>
      </c>
      <c r="B86" s="24" t="s">
        <v>430</v>
      </c>
      <c r="C86" s="37" t="s">
        <v>403</v>
      </c>
      <c r="D86" s="19" t="s">
        <v>431</v>
      </c>
      <c r="E86" s="38" t="s">
        <v>405</v>
      </c>
      <c r="F86" s="16" t="s">
        <v>299</v>
      </c>
      <c r="G86" s="16" t="s">
        <v>113</v>
      </c>
      <c r="H86" s="16" t="s">
        <v>299</v>
      </c>
      <c r="I86" s="16" t="s">
        <v>265</v>
      </c>
      <c r="J86" s="4"/>
      <c r="K86" s="4"/>
      <c r="L86" s="132"/>
      <c r="M86" s="33" t="s">
        <v>421</v>
      </c>
      <c r="N86" s="34"/>
    </row>
    <row r="87" spans="1:14">
      <c r="A87" s="26" t="s">
        <v>432</v>
      </c>
      <c r="B87" s="24" t="s">
        <v>433</v>
      </c>
      <c r="C87" s="37" t="s">
        <v>403</v>
      </c>
      <c r="D87" s="19" t="s">
        <v>420</v>
      </c>
      <c r="E87" s="38" t="s">
        <v>405</v>
      </c>
      <c r="F87" s="16" t="s">
        <v>299</v>
      </c>
      <c r="G87" s="16" t="s">
        <v>113</v>
      </c>
      <c r="H87" s="16" t="s">
        <v>299</v>
      </c>
      <c r="I87" s="16" t="s">
        <v>265</v>
      </c>
      <c r="J87" s="4"/>
      <c r="K87" s="4"/>
      <c r="L87" s="132"/>
      <c r="M87" s="33" t="s">
        <v>421</v>
      </c>
      <c r="N87" s="34"/>
    </row>
    <row r="88" spans="1:14">
      <c r="A88" s="26" t="s">
        <v>434</v>
      </c>
      <c r="B88" s="24" t="s">
        <v>435</v>
      </c>
      <c r="C88" s="37" t="s">
        <v>403</v>
      </c>
      <c r="D88" s="19" t="s">
        <v>404</v>
      </c>
      <c r="E88" s="38" t="s">
        <v>405</v>
      </c>
      <c r="F88" s="16" t="s">
        <v>299</v>
      </c>
      <c r="G88" s="16" t="s">
        <v>113</v>
      </c>
      <c r="H88" s="16" t="s">
        <v>299</v>
      </c>
      <c r="I88" s="16" t="s">
        <v>265</v>
      </c>
      <c r="J88" s="4"/>
      <c r="K88" s="4"/>
      <c r="L88" s="132"/>
      <c r="M88" s="33" t="s">
        <v>436</v>
      </c>
      <c r="N88" s="34"/>
    </row>
    <row r="89" spans="1:14">
      <c r="A89" s="26" t="s">
        <v>437</v>
      </c>
      <c r="B89" s="24" t="s">
        <v>438</v>
      </c>
      <c r="C89" s="37" t="s">
        <v>403</v>
      </c>
      <c r="D89" s="19" t="s">
        <v>439</v>
      </c>
      <c r="E89" s="38" t="s">
        <v>405</v>
      </c>
      <c r="F89" s="16" t="s">
        <v>299</v>
      </c>
      <c r="G89" s="16" t="s">
        <v>113</v>
      </c>
      <c r="H89" s="16" t="s">
        <v>299</v>
      </c>
      <c r="I89" s="16" t="s">
        <v>265</v>
      </c>
      <c r="J89" s="4"/>
      <c r="K89" s="4"/>
      <c r="L89" s="132"/>
      <c r="M89" s="33" t="s">
        <v>440</v>
      </c>
      <c r="N89" s="34"/>
    </row>
    <row r="90" spans="1:14">
      <c r="A90" s="26" t="s">
        <v>441</v>
      </c>
      <c r="B90" s="24" t="s">
        <v>442</v>
      </c>
      <c r="C90" s="37" t="s">
        <v>403</v>
      </c>
      <c r="D90" s="19" t="s">
        <v>443</v>
      </c>
      <c r="E90" s="38" t="s">
        <v>405</v>
      </c>
      <c r="F90" s="16" t="s">
        <v>299</v>
      </c>
      <c r="G90" s="16" t="s">
        <v>113</v>
      </c>
      <c r="H90" s="16" t="s">
        <v>299</v>
      </c>
      <c r="I90" s="16" t="s">
        <v>265</v>
      </c>
      <c r="J90" s="4"/>
      <c r="K90" s="4"/>
      <c r="L90" s="132"/>
      <c r="M90" s="33" t="s">
        <v>440</v>
      </c>
      <c r="N90" s="34"/>
    </row>
    <row r="91" spans="1:14">
      <c r="A91" s="26" t="s">
        <v>444</v>
      </c>
      <c r="B91" s="24" t="s">
        <v>445</v>
      </c>
      <c r="C91" s="37" t="s">
        <v>403</v>
      </c>
      <c r="D91" s="19" t="s">
        <v>443</v>
      </c>
      <c r="E91" s="38" t="s">
        <v>405</v>
      </c>
      <c r="F91" s="16" t="s">
        <v>299</v>
      </c>
      <c r="G91" s="16" t="s">
        <v>113</v>
      </c>
      <c r="H91" s="16" t="s">
        <v>299</v>
      </c>
      <c r="I91" s="16" t="s">
        <v>265</v>
      </c>
      <c r="J91" s="4"/>
      <c r="K91" s="4"/>
      <c r="L91" s="132"/>
      <c r="M91" s="33" t="s">
        <v>440</v>
      </c>
      <c r="N91" s="34"/>
    </row>
    <row r="92" spans="1:14">
      <c r="A92" s="26" t="s">
        <v>446</v>
      </c>
      <c r="B92" s="24" t="s">
        <v>447</v>
      </c>
      <c r="C92" s="37" t="s">
        <v>403</v>
      </c>
      <c r="D92" s="19" t="s">
        <v>448</v>
      </c>
      <c r="E92" s="38" t="s">
        <v>405</v>
      </c>
      <c r="F92" s="16" t="s">
        <v>299</v>
      </c>
      <c r="G92" s="16" t="s">
        <v>113</v>
      </c>
      <c r="H92" s="16" t="s">
        <v>299</v>
      </c>
      <c r="I92" s="16" t="s">
        <v>265</v>
      </c>
      <c r="J92" s="4"/>
      <c r="K92" s="4"/>
      <c r="L92" s="132"/>
      <c r="M92" s="33" t="s">
        <v>449</v>
      </c>
      <c r="N92" s="34"/>
    </row>
    <row r="93" spans="1:14">
      <c r="A93" s="26" t="s">
        <v>450</v>
      </c>
      <c r="B93" s="24" t="s">
        <v>451</v>
      </c>
      <c r="C93" s="37" t="s">
        <v>403</v>
      </c>
      <c r="D93" s="19" t="s">
        <v>404</v>
      </c>
      <c r="E93" s="38" t="s">
        <v>405</v>
      </c>
      <c r="F93" s="16" t="s">
        <v>299</v>
      </c>
      <c r="G93" s="16" t="s">
        <v>113</v>
      </c>
      <c r="H93" s="16" t="s">
        <v>299</v>
      </c>
      <c r="I93" s="16" t="s">
        <v>265</v>
      </c>
      <c r="J93" s="4"/>
      <c r="K93" s="4"/>
      <c r="L93" s="132"/>
      <c r="M93" s="33" t="s">
        <v>452</v>
      </c>
      <c r="N93" s="34"/>
    </row>
    <row r="94" spans="1:14">
      <c r="A94" s="26" t="s">
        <v>453</v>
      </c>
      <c r="B94" s="24" t="s">
        <v>454</v>
      </c>
      <c r="C94" s="39" t="s">
        <v>455</v>
      </c>
      <c r="D94" s="19" t="s">
        <v>456</v>
      </c>
      <c r="E94" s="40" t="s">
        <v>457</v>
      </c>
      <c r="F94" s="16" t="s">
        <v>299</v>
      </c>
      <c r="G94" s="16" t="s">
        <v>113</v>
      </c>
      <c r="H94" s="16" t="s">
        <v>299</v>
      </c>
      <c r="I94" s="16" t="s">
        <v>265</v>
      </c>
      <c r="J94" s="4"/>
      <c r="K94" s="4"/>
      <c r="L94" s="132"/>
      <c r="M94" s="33" t="s">
        <v>449</v>
      </c>
      <c r="N94" s="34"/>
    </row>
    <row r="95" spans="1:14">
      <c r="A95" s="26" t="s">
        <v>458</v>
      </c>
      <c r="B95" s="24" t="s">
        <v>459</v>
      </c>
      <c r="C95" s="39" t="s">
        <v>455</v>
      </c>
      <c r="D95" s="19" t="s">
        <v>456</v>
      </c>
      <c r="E95" s="40" t="s">
        <v>457</v>
      </c>
      <c r="F95" s="16" t="s">
        <v>299</v>
      </c>
      <c r="G95" s="16" t="s">
        <v>113</v>
      </c>
      <c r="H95" s="16" t="s">
        <v>299</v>
      </c>
      <c r="I95" s="16" t="s">
        <v>265</v>
      </c>
      <c r="J95" s="4"/>
      <c r="K95" s="4"/>
      <c r="L95" s="132"/>
      <c r="M95" s="33" t="s">
        <v>449</v>
      </c>
      <c r="N95" s="34"/>
    </row>
    <row r="96" spans="1:14">
      <c r="A96" s="26" t="s">
        <v>460</v>
      </c>
      <c r="B96" s="24" t="s">
        <v>461</v>
      </c>
      <c r="C96" s="39" t="s">
        <v>455</v>
      </c>
      <c r="D96" s="19" t="s">
        <v>62</v>
      </c>
      <c r="E96" s="40" t="s">
        <v>457</v>
      </c>
      <c r="F96" s="16" t="s">
        <v>299</v>
      </c>
      <c r="G96" s="16" t="s">
        <v>113</v>
      </c>
      <c r="H96" s="16" t="s">
        <v>299</v>
      </c>
      <c r="I96" s="16" t="s">
        <v>265</v>
      </c>
      <c r="J96" s="4"/>
      <c r="K96" s="4"/>
      <c r="L96" s="132"/>
      <c r="M96" s="33" t="s">
        <v>449</v>
      </c>
      <c r="N96" s="34"/>
    </row>
    <row r="97" spans="1:14">
      <c r="A97" s="26" t="s">
        <v>462</v>
      </c>
      <c r="B97" s="24" t="s">
        <v>463</v>
      </c>
      <c r="C97" s="39" t="s">
        <v>455</v>
      </c>
      <c r="D97" s="19" t="s">
        <v>464</v>
      </c>
      <c r="E97" s="40" t="s">
        <v>457</v>
      </c>
      <c r="F97" s="16" t="s">
        <v>299</v>
      </c>
      <c r="G97" s="16" t="s">
        <v>113</v>
      </c>
      <c r="H97" s="16" t="s">
        <v>299</v>
      </c>
      <c r="I97" s="16" t="s">
        <v>265</v>
      </c>
      <c r="J97" s="4"/>
      <c r="K97" s="4"/>
      <c r="L97" s="132"/>
      <c r="M97" s="33" t="s">
        <v>449</v>
      </c>
      <c r="N97" s="34"/>
    </row>
    <row r="98" spans="1:14">
      <c r="A98" s="26" t="s">
        <v>465</v>
      </c>
      <c r="B98" s="24" t="s">
        <v>466</v>
      </c>
      <c r="C98" s="39" t="s">
        <v>455</v>
      </c>
      <c r="D98" s="19" t="s">
        <v>456</v>
      </c>
      <c r="E98" s="40" t="s">
        <v>457</v>
      </c>
      <c r="F98" s="16" t="s">
        <v>299</v>
      </c>
      <c r="G98" s="16" t="s">
        <v>113</v>
      </c>
      <c r="H98" s="16" t="s">
        <v>299</v>
      </c>
      <c r="I98" s="16" t="s">
        <v>265</v>
      </c>
      <c r="J98" s="4"/>
      <c r="K98" s="4"/>
      <c r="L98" s="132"/>
      <c r="M98" s="33" t="s">
        <v>449</v>
      </c>
      <c r="N98" s="34"/>
    </row>
    <row r="99" spans="1:14">
      <c r="A99" s="26" t="s">
        <v>467</v>
      </c>
      <c r="B99" s="24" t="s">
        <v>468</v>
      </c>
      <c r="C99" s="39" t="s">
        <v>455</v>
      </c>
      <c r="D99" s="19" t="s">
        <v>469</v>
      </c>
      <c r="E99" s="40" t="s">
        <v>457</v>
      </c>
      <c r="F99" s="16" t="s">
        <v>299</v>
      </c>
      <c r="G99" s="16" t="s">
        <v>113</v>
      </c>
      <c r="H99" s="16" t="s">
        <v>299</v>
      </c>
      <c r="I99" s="16" t="s">
        <v>265</v>
      </c>
      <c r="J99" s="4"/>
      <c r="K99" s="4"/>
      <c r="L99" s="132"/>
      <c r="M99" s="33" t="s">
        <v>470</v>
      </c>
      <c r="N99" s="34"/>
    </row>
    <row r="100" spans="1:14">
      <c r="A100" s="26" t="s">
        <v>471</v>
      </c>
      <c r="B100" s="24" t="s">
        <v>472</v>
      </c>
      <c r="C100" s="39" t="s">
        <v>455</v>
      </c>
      <c r="D100" s="19" t="s">
        <v>469</v>
      </c>
      <c r="E100" s="40" t="s">
        <v>457</v>
      </c>
      <c r="F100" s="16" t="s">
        <v>299</v>
      </c>
      <c r="G100" s="16" t="s">
        <v>113</v>
      </c>
      <c r="H100" s="16" t="s">
        <v>299</v>
      </c>
      <c r="I100" s="16" t="s">
        <v>265</v>
      </c>
      <c r="J100" s="4"/>
      <c r="K100" s="4"/>
      <c r="L100" s="132"/>
      <c r="M100" s="33" t="s">
        <v>470</v>
      </c>
      <c r="N100" s="34"/>
    </row>
    <row r="101" spans="1:14">
      <c r="A101" s="26" t="s">
        <v>473</v>
      </c>
      <c r="B101" s="24" t="s">
        <v>474</v>
      </c>
      <c r="C101" s="39" t="s">
        <v>455</v>
      </c>
      <c r="D101" s="19" t="s">
        <v>469</v>
      </c>
      <c r="E101" s="40" t="s">
        <v>457</v>
      </c>
      <c r="F101" s="16" t="s">
        <v>299</v>
      </c>
      <c r="G101" s="16" t="s">
        <v>113</v>
      </c>
      <c r="H101" s="16" t="s">
        <v>299</v>
      </c>
      <c r="I101" s="16" t="s">
        <v>265</v>
      </c>
      <c r="J101" s="4"/>
      <c r="K101" s="4"/>
      <c r="L101" s="132"/>
      <c r="M101" s="33" t="s">
        <v>470</v>
      </c>
      <c r="N101" s="34"/>
    </row>
    <row r="102" spans="1:14">
      <c r="A102" s="26" t="s">
        <v>475</v>
      </c>
      <c r="B102" s="24" t="s">
        <v>476</v>
      </c>
      <c r="C102" s="39" t="s">
        <v>455</v>
      </c>
      <c r="D102" s="19" t="s">
        <v>469</v>
      </c>
      <c r="E102" s="40" t="s">
        <v>457</v>
      </c>
      <c r="F102" s="16" t="s">
        <v>299</v>
      </c>
      <c r="G102" s="16" t="s">
        <v>113</v>
      </c>
      <c r="H102" s="16" t="s">
        <v>299</v>
      </c>
      <c r="I102" s="16" t="s">
        <v>265</v>
      </c>
      <c r="J102" s="4"/>
      <c r="K102" s="4"/>
      <c r="L102" s="132"/>
      <c r="M102" s="33" t="s">
        <v>470</v>
      </c>
      <c r="N102" s="34"/>
    </row>
    <row r="103" spans="1:14">
      <c r="A103" s="26" t="s">
        <v>477</v>
      </c>
      <c r="B103" s="24" t="s">
        <v>478</v>
      </c>
      <c r="C103" s="39" t="s">
        <v>455</v>
      </c>
      <c r="D103" s="19" t="s">
        <v>456</v>
      </c>
      <c r="E103" s="40" t="s">
        <v>457</v>
      </c>
      <c r="F103" s="16" t="s">
        <v>299</v>
      </c>
      <c r="G103" s="16" t="s">
        <v>113</v>
      </c>
      <c r="H103" s="16" t="s">
        <v>299</v>
      </c>
      <c r="I103" s="16" t="s">
        <v>265</v>
      </c>
      <c r="J103" s="4"/>
      <c r="K103" s="4"/>
      <c r="L103" s="132"/>
      <c r="M103" s="33" t="s">
        <v>452</v>
      </c>
      <c r="N103" s="34"/>
    </row>
    <row r="104" spans="1:14">
      <c r="A104" s="26" t="s">
        <v>479</v>
      </c>
      <c r="B104" s="24" t="s">
        <v>480</v>
      </c>
      <c r="C104" s="39" t="s">
        <v>455</v>
      </c>
      <c r="D104" s="19" t="s">
        <v>481</v>
      </c>
      <c r="E104" s="40" t="s">
        <v>457</v>
      </c>
      <c r="F104" s="16" t="s">
        <v>299</v>
      </c>
      <c r="G104" s="16" t="s">
        <v>113</v>
      </c>
      <c r="H104" s="16" t="s">
        <v>299</v>
      </c>
      <c r="I104" s="16" t="s">
        <v>265</v>
      </c>
      <c r="J104" s="4"/>
      <c r="K104" s="4"/>
      <c r="L104" s="132"/>
      <c r="M104" s="33" t="s">
        <v>482</v>
      </c>
      <c r="N104" s="34"/>
    </row>
    <row r="105" spans="1:14">
      <c r="A105" s="26" t="s">
        <v>483</v>
      </c>
      <c r="B105" s="24" t="s">
        <v>484</v>
      </c>
      <c r="C105" s="39" t="s">
        <v>455</v>
      </c>
      <c r="D105" s="19" t="s">
        <v>485</v>
      </c>
      <c r="E105" s="40" t="s">
        <v>457</v>
      </c>
      <c r="F105" s="16" t="s">
        <v>299</v>
      </c>
      <c r="G105" s="16" t="s">
        <v>113</v>
      </c>
      <c r="H105" s="16" t="s">
        <v>299</v>
      </c>
      <c r="I105" s="16" t="s">
        <v>265</v>
      </c>
      <c r="J105" s="4"/>
      <c r="K105" s="4"/>
      <c r="L105" s="132"/>
      <c r="M105" s="33" t="s">
        <v>482</v>
      </c>
      <c r="N105" s="34"/>
    </row>
    <row r="106" spans="1:14">
      <c r="A106" s="26" t="s">
        <v>486</v>
      </c>
      <c r="B106" s="24" t="s">
        <v>487</v>
      </c>
      <c r="C106" s="29" t="s">
        <v>286</v>
      </c>
      <c r="D106" s="19" t="s">
        <v>232</v>
      </c>
      <c r="E106" s="30" t="s">
        <v>287</v>
      </c>
      <c r="F106" s="16" t="s">
        <v>227</v>
      </c>
      <c r="G106" s="16" t="s">
        <v>299</v>
      </c>
      <c r="H106" s="16" t="s">
        <v>313</v>
      </c>
      <c r="I106" s="16" t="s">
        <v>265</v>
      </c>
      <c r="J106" s="4"/>
      <c r="K106" s="4"/>
      <c r="L106" s="131">
        <v>0.2</v>
      </c>
      <c r="M106" s="33" t="s">
        <v>314</v>
      </c>
      <c r="N106" s="34"/>
    </row>
    <row r="107" spans="1:14">
      <c r="A107" s="26" t="s">
        <v>488</v>
      </c>
      <c r="B107" s="24" t="s">
        <v>489</v>
      </c>
      <c r="C107" s="29" t="s">
        <v>286</v>
      </c>
      <c r="D107" s="19" t="s">
        <v>232</v>
      </c>
      <c r="E107" s="30" t="s">
        <v>287</v>
      </c>
      <c r="F107" s="16" t="s">
        <v>227</v>
      </c>
      <c r="G107" s="16" t="s">
        <v>299</v>
      </c>
      <c r="H107" s="16" t="s">
        <v>313</v>
      </c>
      <c r="I107" s="16" t="s">
        <v>265</v>
      </c>
      <c r="J107" s="4"/>
      <c r="K107" s="4"/>
      <c r="L107" s="131">
        <v>0.25</v>
      </c>
      <c r="M107" s="33" t="s">
        <v>314</v>
      </c>
      <c r="N107" s="34"/>
    </row>
    <row r="108" spans="1:14">
      <c r="A108" s="26" t="s">
        <v>490</v>
      </c>
      <c r="B108" s="24" t="s">
        <v>491</v>
      </c>
      <c r="C108" s="29" t="s">
        <v>286</v>
      </c>
      <c r="D108" s="19" t="s">
        <v>232</v>
      </c>
      <c r="E108" s="30" t="s">
        <v>359</v>
      </c>
      <c r="F108" s="16" t="s">
        <v>227</v>
      </c>
      <c r="G108" s="16" t="s">
        <v>299</v>
      </c>
      <c r="H108" s="16" t="s">
        <v>313</v>
      </c>
      <c r="I108" s="16" t="s">
        <v>265</v>
      </c>
      <c r="J108" s="4"/>
      <c r="K108" s="4"/>
      <c r="L108" s="131">
        <v>0.7</v>
      </c>
      <c r="M108" s="33" t="s">
        <v>314</v>
      </c>
      <c r="N108" s="34"/>
    </row>
    <row r="109" spans="1:14">
      <c r="A109" s="26" t="s">
        <v>492</v>
      </c>
      <c r="B109" s="24" t="s">
        <v>493</v>
      </c>
      <c r="C109" s="29" t="s">
        <v>286</v>
      </c>
      <c r="D109" s="19" t="s">
        <v>231</v>
      </c>
      <c r="E109" s="30" t="s">
        <v>287</v>
      </c>
      <c r="F109" s="16" t="s">
        <v>227</v>
      </c>
      <c r="G109" s="16" t="s">
        <v>299</v>
      </c>
      <c r="H109" s="16" t="s">
        <v>313</v>
      </c>
      <c r="I109" s="16" t="s">
        <v>265</v>
      </c>
      <c r="J109" s="4"/>
      <c r="K109" s="4"/>
      <c r="L109" s="131">
        <v>0.2</v>
      </c>
      <c r="M109" s="33" t="s">
        <v>314</v>
      </c>
      <c r="N109" s="34"/>
    </row>
    <row r="110" spans="1:14">
      <c r="A110" s="26" t="s">
        <v>494</v>
      </c>
      <c r="B110" s="24" t="s">
        <v>495</v>
      </c>
      <c r="C110" s="39" t="s">
        <v>455</v>
      </c>
      <c r="D110" s="19" t="s">
        <v>496</v>
      </c>
      <c r="E110" s="40" t="s">
        <v>457</v>
      </c>
      <c r="F110" s="16" t="s">
        <v>299</v>
      </c>
      <c r="G110" s="16" t="s">
        <v>113</v>
      </c>
      <c r="H110" s="16" t="s">
        <v>299</v>
      </c>
      <c r="I110" s="16" t="s">
        <v>265</v>
      </c>
      <c r="J110" s="4"/>
      <c r="K110" s="4"/>
      <c r="L110" s="132"/>
      <c r="M110" s="33" t="s">
        <v>497</v>
      </c>
      <c r="N110" s="34"/>
    </row>
    <row r="111" spans="1:14">
      <c r="A111" s="26" t="s">
        <v>498</v>
      </c>
      <c r="B111" s="24" t="s">
        <v>499</v>
      </c>
      <c r="C111" s="39" t="s">
        <v>455</v>
      </c>
      <c r="D111" s="19" t="s">
        <v>496</v>
      </c>
      <c r="E111" s="40" t="s">
        <v>457</v>
      </c>
      <c r="F111" s="16" t="s">
        <v>299</v>
      </c>
      <c r="G111" s="16" t="s">
        <v>113</v>
      </c>
      <c r="H111" s="16" t="s">
        <v>299</v>
      </c>
      <c r="I111" s="16" t="s">
        <v>265</v>
      </c>
      <c r="J111" s="4"/>
      <c r="K111" s="4"/>
      <c r="L111" s="132"/>
      <c r="M111" s="33" t="s">
        <v>497</v>
      </c>
      <c r="N111" s="34"/>
    </row>
    <row r="112" spans="1:14">
      <c r="A112" s="26" t="s">
        <v>500</v>
      </c>
      <c r="B112" s="24" t="s">
        <v>501</v>
      </c>
      <c r="C112" s="29" t="s">
        <v>286</v>
      </c>
      <c r="D112" s="19" t="s">
        <v>232</v>
      </c>
      <c r="E112" s="30" t="s">
        <v>287</v>
      </c>
      <c r="F112" s="16" t="s">
        <v>227</v>
      </c>
      <c r="G112" s="16" t="s">
        <v>299</v>
      </c>
      <c r="H112" s="16" t="s">
        <v>313</v>
      </c>
      <c r="I112" s="16" t="s">
        <v>265</v>
      </c>
      <c r="J112" s="4"/>
      <c r="K112" s="4"/>
      <c r="L112" s="131">
        <v>0.2</v>
      </c>
      <c r="M112" s="33" t="s">
        <v>314</v>
      </c>
      <c r="N112" s="34"/>
    </row>
    <row r="113" spans="1:14">
      <c r="A113" s="26" t="s">
        <v>502</v>
      </c>
      <c r="B113" s="24" t="s">
        <v>503</v>
      </c>
      <c r="C113" s="39" t="s">
        <v>455</v>
      </c>
      <c r="D113" s="19" t="s">
        <v>464</v>
      </c>
      <c r="E113" s="40" t="s">
        <v>457</v>
      </c>
      <c r="F113" s="16" t="s">
        <v>299</v>
      </c>
      <c r="G113" s="16" t="s">
        <v>113</v>
      </c>
      <c r="H113" s="16" t="s">
        <v>299</v>
      </c>
      <c r="I113" s="16" t="s">
        <v>265</v>
      </c>
      <c r="J113" s="4"/>
      <c r="K113" s="4"/>
      <c r="L113" s="132"/>
      <c r="M113" s="33" t="s">
        <v>504</v>
      </c>
      <c r="N113" s="34"/>
    </row>
    <row r="114" spans="1:14">
      <c r="A114" s="26" t="s">
        <v>505</v>
      </c>
      <c r="B114" s="24" t="s">
        <v>506</v>
      </c>
      <c r="C114" s="39" t="s">
        <v>455</v>
      </c>
      <c r="D114" s="19" t="s">
        <v>469</v>
      </c>
      <c r="E114" s="40" t="s">
        <v>457</v>
      </c>
      <c r="F114" s="16" t="s">
        <v>299</v>
      </c>
      <c r="G114" s="16" t="s">
        <v>113</v>
      </c>
      <c r="H114" s="16" t="s">
        <v>299</v>
      </c>
      <c r="I114" s="16" t="s">
        <v>265</v>
      </c>
      <c r="J114" s="4"/>
      <c r="K114" s="4"/>
      <c r="L114" s="132"/>
      <c r="M114" s="33" t="s">
        <v>507</v>
      </c>
      <c r="N114" s="34"/>
    </row>
    <row r="115" spans="1:14">
      <c r="A115" s="26" t="s">
        <v>508</v>
      </c>
      <c r="B115" s="24" t="s">
        <v>509</v>
      </c>
      <c r="C115" s="39" t="s">
        <v>455</v>
      </c>
      <c r="D115" s="19" t="s">
        <v>469</v>
      </c>
      <c r="E115" s="40" t="s">
        <v>457</v>
      </c>
      <c r="F115" s="16" t="s">
        <v>299</v>
      </c>
      <c r="G115" s="16" t="s">
        <v>113</v>
      </c>
      <c r="H115" s="16" t="s">
        <v>299</v>
      </c>
      <c r="I115" s="16" t="s">
        <v>265</v>
      </c>
      <c r="J115" s="4"/>
      <c r="K115" s="4"/>
      <c r="L115" s="132"/>
      <c r="M115" s="33" t="s">
        <v>507</v>
      </c>
      <c r="N115" s="34"/>
    </row>
    <row r="116" spans="1:14">
      <c r="A116" s="26" t="s">
        <v>510</v>
      </c>
      <c r="B116" s="24" t="s">
        <v>511</v>
      </c>
      <c r="C116" s="39" t="s">
        <v>455</v>
      </c>
      <c r="D116" s="19" t="s">
        <v>469</v>
      </c>
      <c r="E116" s="40" t="s">
        <v>457</v>
      </c>
      <c r="F116" s="16" t="s">
        <v>299</v>
      </c>
      <c r="G116" s="16" t="s">
        <v>113</v>
      </c>
      <c r="H116" s="16" t="s">
        <v>299</v>
      </c>
      <c r="I116" s="16" t="s">
        <v>265</v>
      </c>
      <c r="J116" s="4"/>
      <c r="K116" s="4"/>
      <c r="L116" s="132"/>
      <c r="M116" s="33" t="s">
        <v>507</v>
      </c>
      <c r="N116" s="34"/>
    </row>
    <row r="117" spans="1:14">
      <c r="A117" s="26" t="s">
        <v>512</v>
      </c>
      <c r="B117" s="24" t="s">
        <v>513</v>
      </c>
      <c r="C117" s="35" t="s">
        <v>384</v>
      </c>
      <c r="D117" s="19" t="s">
        <v>464</v>
      </c>
      <c r="E117" s="36" t="s">
        <v>299</v>
      </c>
      <c r="F117" s="16" t="s">
        <v>299</v>
      </c>
      <c r="G117" s="16" t="s">
        <v>113</v>
      </c>
      <c r="H117" s="16" t="s">
        <v>299</v>
      </c>
      <c r="I117" s="16" t="s">
        <v>265</v>
      </c>
      <c r="J117" s="4"/>
      <c r="K117" s="4"/>
      <c r="L117" s="132"/>
      <c r="M117" s="33" t="s">
        <v>507</v>
      </c>
      <c r="N117" s="34"/>
    </row>
    <row r="118" spans="1:14">
      <c r="A118" s="26" t="s">
        <v>514</v>
      </c>
      <c r="B118" s="24" t="s">
        <v>515</v>
      </c>
      <c r="C118" s="35" t="s">
        <v>384</v>
      </c>
      <c r="D118" s="19" t="s">
        <v>464</v>
      </c>
      <c r="E118" s="36" t="s">
        <v>299</v>
      </c>
      <c r="F118" s="16" t="s">
        <v>299</v>
      </c>
      <c r="G118" s="16" t="s">
        <v>113</v>
      </c>
      <c r="H118" s="16" t="s">
        <v>299</v>
      </c>
      <c r="I118" s="16" t="s">
        <v>265</v>
      </c>
      <c r="J118" s="4"/>
      <c r="K118" s="4"/>
      <c r="L118" s="132"/>
      <c r="M118" s="33" t="s">
        <v>507</v>
      </c>
      <c r="N118" s="34"/>
    </row>
    <row r="119" spans="1:14">
      <c r="A119" s="26" t="s">
        <v>516</v>
      </c>
      <c r="B119" s="24" t="s">
        <v>517</v>
      </c>
      <c r="C119" s="35" t="s">
        <v>384</v>
      </c>
      <c r="D119" s="19" t="s">
        <v>464</v>
      </c>
      <c r="E119" s="36" t="s">
        <v>299</v>
      </c>
      <c r="F119" s="16" t="s">
        <v>299</v>
      </c>
      <c r="G119" s="16" t="s">
        <v>113</v>
      </c>
      <c r="H119" s="16" t="s">
        <v>299</v>
      </c>
      <c r="I119" s="16" t="s">
        <v>265</v>
      </c>
      <c r="J119" s="4"/>
      <c r="K119" s="4"/>
      <c r="L119" s="132"/>
      <c r="M119" s="33" t="s">
        <v>507</v>
      </c>
      <c r="N119" s="34"/>
    </row>
    <row r="120" spans="1:14">
      <c r="A120" s="26" t="s">
        <v>518</v>
      </c>
      <c r="B120" s="24" t="s">
        <v>519</v>
      </c>
      <c r="C120" s="39" t="s">
        <v>455</v>
      </c>
      <c r="D120" s="19" t="s">
        <v>520</v>
      </c>
      <c r="E120" s="40" t="s">
        <v>457</v>
      </c>
      <c r="F120" s="16" t="s">
        <v>299</v>
      </c>
      <c r="G120" s="16" t="s">
        <v>113</v>
      </c>
      <c r="H120" s="16" t="s">
        <v>299</v>
      </c>
      <c r="I120" s="16" t="s">
        <v>265</v>
      </c>
      <c r="J120" s="4"/>
      <c r="K120" s="4"/>
      <c r="L120" s="132"/>
      <c r="M120" s="33" t="s">
        <v>521</v>
      </c>
      <c r="N120" s="34"/>
    </row>
    <row r="121" spans="1:14">
      <c r="A121" s="26" t="s">
        <v>522</v>
      </c>
      <c r="B121" s="24" t="s">
        <v>523</v>
      </c>
      <c r="C121" s="39" t="s">
        <v>455</v>
      </c>
      <c r="D121" s="19" t="s">
        <v>520</v>
      </c>
      <c r="E121" s="40" t="s">
        <v>457</v>
      </c>
      <c r="F121" s="16" t="s">
        <v>299</v>
      </c>
      <c r="G121" s="16" t="s">
        <v>113</v>
      </c>
      <c r="H121" s="16" t="s">
        <v>299</v>
      </c>
      <c r="I121" s="16" t="s">
        <v>265</v>
      </c>
      <c r="J121" s="4"/>
      <c r="K121" s="4"/>
      <c r="L121" s="132"/>
      <c r="M121" s="33" t="s">
        <v>521</v>
      </c>
      <c r="N121" s="34"/>
    </row>
    <row r="122" spans="1:14">
      <c r="A122" s="26" t="s">
        <v>524</v>
      </c>
      <c r="B122" s="24" t="s">
        <v>525</v>
      </c>
      <c r="C122" s="39" t="s">
        <v>455</v>
      </c>
      <c r="D122" s="19" t="s">
        <v>520</v>
      </c>
      <c r="E122" s="40" t="s">
        <v>457</v>
      </c>
      <c r="F122" s="16" t="s">
        <v>299</v>
      </c>
      <c r="G122" s="16" t="s">
        <v>113</v>
      </c>
      <c r="H122" s="16" t="s">
        <v>299</v>
      </c>
      <c r="I122" s="16" t="s">
        <v>265</v>
      </c>
      <c r="J122" s="4"/>
      <c r="K122" s="4"/>
      <c r="L122" s="132"/>
      <c r="M122" s="33" t="s">
        <v>521</v>
      </c>
      <c r="N122" s="34"/>
    </row>
    <row r="123" spans="1:14">
      <c r="A123" s="26" t="s">
        <v>526</v>
      </c>
      <c r="B123" s="24" t="s">
        <v>527</v>
      </c>
      <c r="C123" s="35" t="s">
        <v>384</v>
      </c>
      <c r="D123" s="19" t="s">
        <v>464</v>
      </c>
      <c r="E123" s="36" t="s">
        <v>299</v>
      </c>
      <c r="F123" s="16" t="s">
        <v>299</v>
      </c>
      <c r="G123" s="16" t="s">
        <v>113</v>
      </c>
      <c r="H123" s="16" t="s">
        <v>299</v>
      </c>
      <c r="I123" s="16" t="s">
        <v>265</v>
      </c>
      <c r="J123" s="4"/>
      <c r="K123" s="4"/>
      <c r="L123" s="132"/>
      <c r="M123" s="33" t="s">
        <v>528</v>
      </c>
      <c r="N123" s="34"/>
    </row>
    <row r="124" spans="1:14">
      <c r="A124" s="26" t="s">
        <v>529</v>
      </c>
      <c r="B124" s="24" t="s">
        <v>530</v>
      </c>
      <c r="C124" s="39" t="s">
        <v>455</v>
      </c>
      <c r="D124" s="19" t="s">
        <v>520</v>
      </c>
      <c r="E124" s="40" t="s">
        <v>457</v>
      </c>
      <c r="F124" s="16" t="s">
        <v>299</v>
      </c>
      <c r="G124" s="16" t="s">
        <v>113</v>
      </c>
      <c r="H124" s="16" t="s">
        <v>299</v>
      </c>
      <c r="I124" s="16" t="s">
        <v>265</v>
      </c>
      <c r="J124" s="4"/>
      <c r="K124" s="4"/>
      <c r="L124" s="132"/>
      <c r="M124" s="33" t="s">
        <v>531</v>
      </c>
      <c r="N124" s="34"/>
    </row>
    <row r="125" spans="1:14">
      <c r="A125" s="26" t="s">
        <v>532</v>
      </c>
      <c r="B125" s="24" t="s">
        <v>533</v>
      </c>
      <c r="C125" s="35" t="s">
        <v>384</v>
      </c>
      <c r="D125" s="19" t="s">
        <v>534</v>
      </c>
      <c r="E125" s="36" t="s">
        <v>299</v>
      </c>
      <c r="F125" s="16" t="s">
        <v>299</v>
      </c>
      <c r="G125" s="16" t="s">
        <v>113</v>
      </c>
      <c r="H125" s="16" t="s">
        <v>299</v>
      </c>
      <c r="I125" s="16" t="s">
        <v>265</v>
      </c>
      <c r="J125" s="4"/>
      <c r="K125" s="4"/>
      <c r="L125" s="132"/>
      <c r="M125" s="33" t="s">
        <v>535</v>
      </c>
      <c r="N125" s="34"/>
    </row>
    <row r="126" spans="1:14">
      <c r="A126" s="26" t="s">
        <v>536</v>
      </c>
      <c r="B126" s="24" t="s">
        <v>537</v>
      </c>
      <c r="C126" s="35" t="s">
        <v>384</v>
      </c>
      <c r="D126" s="19" t="s">
        <v>534</v>
      </c>
      <c r="E126" s="36" t="s">
        <v>299</v>
      </c>
      <c r="F126" s="16" t="s">
        <v>299</v>
      </c>
      <c r="G126" s="16" t="s">
        <v>113</v>
      </c>
      <c r="H126" s="16" t="s">
        <v>299</v>
      </c>
      <c r="I126" s="16" t="s">
        <v>265</v>
      </c>
      <c r="J126" s="4"/>
      <c r="K126" s="4"/>
      <c r="L126" s="132"/>
      <c r="M126" s="33" t="s">
        <v>535</v>
      </c>
      <c r="N126" s="34"/>
    </row>
    <row r="127" spans="1:14">
      <c r="A127" s="26" t="s">
        <v>538</v>
      </c>
      <c r="B127" s="24" t="s">
        <v>539</v>
      </c>
      <c r="C127" s="35" t="s">
        <v>384</v>
      </c>
      <c r="D127" s="19" t="s">
        <v>534</v>
      </c>
      <c r="E127" s="36" t="s">
        <v>299</v>
      </c>
      <c r="F127" s="16" t="s">
        <v>299</v>
      </c>
      <c r="G127" s="16" t="s">
        <v>113</v>
      </c>
      <c r="H127" s="16" t="s">
        <v>299</v>
      </c>
      <c r="I127" s="16" t="s">
        <v>265</v>
      </c>
      <c r="J127" s="4"/>
      <c r="K127" s="4"/>
      <c r="L127" s="132"/>
      <c r="M127" s="33" t="s">
        <v>535</v>
      </c>
      <c r="N127" s="34"/>
    </row>
    <row r="128" spans="1:14">
      <c r="A128" s="26" t="s">
        <v>540</v>
      </c>
      <c r="B128" s="24" t="s">
        <v>541</v>
      </c>
      <c r="C128" s="29" t="s">
        <v>286</v>
      </c>
      <c r="D128" s="19" t="s">
        <v>232</v>
      </c>
      <c r="E128" s="30" t="s">
        <v>287</v>
      </c>
      <c r="F128" s="16" t="s">
        <v>227</v>
      </c>
      <c r="G128" s="16" t="s">
        <v>299</v>
      </c>
      <c r="H128" s="16" t="s">
        <v>313</v>
      </c>
      <c r="I128" s="16" t="s">
        <v>265</v>
      </c>
      <c r="J128" s="4"/>
      <c r="K128" s="4"/>
      <c r="L128" s="131">
        <v>0.25</v>
      </c>
      <c r="M128" s="33" t="s">
        <v>314</v>
      </c>
      <c r="N128" s="34"/>
    </row>
    <row r="129" spans="1:14">
      <c r="A129" s="26" t="s">
        <v>542</v>
      </c>
      <c r="B129" s="24" t="s">
        <v>543</v>
      </c>
      <c r="C129" s="29" t="s">
        <v>286</v>
      </c>
      <c r="D129" s="19" t="s">
        <v>232</v>
      </c>
      <c r="E129" s="30" t="s">
        <v>287</v>
      </c>
      <c r="F129" s="16" t="s">
        <v>227</v>
      </c>
      <c r="G129" s="16" t="s">
        <v>299</v>
      </c>
      <c r="H129" s="16" t="s">
        <v>313</v>
      </c>
      <c r="I129" s="16" t="s">
        <v>265</v>
      </c>
      <c r="J129" s="4"/>
      <c r="K129" s="4"/>
      <c r="L129" s="131">
        <v>0.25</v>
      </c>
      <c r="M129" s="33" t="s">
        <v>314</v>
      </c>
      <c r="N129" s="34"/>
    </row>
    <row r="130" spans="1:14">
      <c r="A130" s="26" t="s">
        <v>544</v>
      </c>
      <c r="B130" s="24" t="s">
        <v>545</v>
      </c>
      <c r="C130" s="29" t="s">
        <v>286</v>
      </c>
      <c r="D130" s="19" t="s">
        <v>232</v>
      </c>
      <c r="E130" s="30" t="s">
        <v>287</v>
      </c>
      <c r="F130" s="16" t="s">
        <v>227</v>
      </c>
      <c r="G130" s="16" t="s">
        <v>299</v>
      </c>
      <c r="H130" s="16" t="s">
        <v>313</v>
      </c>
      <c r="I130" s="16" t="s">
        <v>265</v>
      </c>
      <c r="J130" s="4"/>
      <c r="K130" s="4"/>
      <c r="L130" s="131">
        <v>0.2</v>
      </c>
      <c r="M130" s="33" t="s">
        <v>314</v>
      </c>
      <c r="N130" s="34"/>
    </row>
    <row r="131" spans="1:14">
      <c r="A131" s="26" t="s">
        <v>546</v>
      </c>
      <c r="B131" s="24" t="s">
        <v>547</v>
      </c>
      <c r="C131" s="39" t="s">
        <v>455</v>
      </c>
      <c r="D131" s="19" t="s">
        <v>520</v>
      </c>
      <c r="E131" s="40" t="s">
        <v>457</v>
      </c>
      <c r="F131" s="16" t="s">
        <v>299</v>
      </c>
      <c r="G131" s="16" t="s">
        <v>113</v>
      </c>
      <c r="H131" s="16" t="s">
        <v>299</v>
      </c>
      <c r="I131" s="16" t="s">
        <v>265</v>
      </c>
      <c r="J131" s="4"/>
      <c r="K131" s="4"/>
      <c r="L131" s="132"/>
      <c r="M131" s="33" t="s">
        <v>548</v>
      </c>
      <c r="N131" s="34"/>
    </row>
    <row r="132" spans="1:14">
      <c r="A132" s="26" t="s">
        <v>549</v>
      </c>
      <c r="B132" s="24" t="s">
        <v>550</v>
      </c>
      <c r="C132" s="37" t="s">
        <v>403</v>
      </c>
      <c r="D132" s="19" t="s">
        <v>404</v>
      </c>
      <c r="E132" s="38" t="s">
        <v>405</v>
      </c>
      <c r="F132" s="16" t="s">
        <v>299</v>
      </c>
      <c r="G132" s="16" t="s">
        <v>113</v>
      </c>
      <c r="H132" s="16" t="s">
        <v>299</v>
      </c>
      <c r="I132" s="16" t="s">
        <v>265</v>
      </c>
      <c r="J132" s="4"/>
      <c r="K132" s="4"/>
      <c r="L132" s="132"/>
      <c r="M132" s="33" t="s">
        <v>551</v>
      </c>
      <c r="N132" s="34"/>
    </row>
    <row r="133" spans="1:14">
      <c r="A133" s="26" t="s">
        <v>552</v>
      </c>
      <c r="B133" s="24" t="s">
        <v>553</v>
      </c>
      <c r="C133" s="35" t="s">
        <v>384</v>
      </c>
      <c r="D133" s="19" t="s">
        <v>554</v>
      </c>
      <c r="E133" s="36" t="s">
        <v>299</v>
      </c>
      <c r="F133" s="16" t="s">
        <v>299</v>
      </c>
      <c r="G133" s="16" t="s">
        <v>299</v>
      </c>
      <c r="H133" s="16" t="s">
        <v>299</v>
      </c>
      <c r="I133" s="16" t="s">
        <v>265</v>
      </c>
      <c r="J133" s="4"/>
      <c r="K133" s="4"/>
      <c r="L133" s="132"/>
      <c r="M133" s="33" t="s">
        <v>555</v>
      </c>
      <c r="N133" s="34" t="s">
        <v>556</v>
      </c>
    </row>
  </sheetData>
  <mergeCells count="6">
    <mergeCell ref="A1:N1"/>
    <mergeCell ref="A2:N2"/>
    <mergeCell ref="A25:N25"/>
    <mergeCell ref="A14:N14"/>
    <mergeCell ref="A4:N4"/>
    <mergeCell ref="A24:N24"/>
  </mergeCells>
  <printOptions horizontalCentered="1"/>
  <pageMargins left="0.3" right="0.3" top="0.4" bottom="0.4" header="0.5" footer="0.5"/>
  <pageSetup fitToHeight="0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118</vt:i4>
      </vt:variant>
    </vt:vector>
  </HeadingPairs>
  <TitlesOfParts>
    <vt:vector size="127" baseType="lpstr">
      <vt:lpstr>01_ACCUEIL</vt:lpstr>
      <vt:lpstr>02_DONNEES</vt:lpstr>
      <vt:lpstr>03_TABLEAU_DE_BORD</vt:lpstr>
      <vt:lpstr>04_FEC_BRUT</vt:lpstr>
      <vt:lpstr>05_DSN_BRUT</vt:lpstr>
      <vt:lpstr>06_BALANCE_ESG</vt:lpstr>
      <vt:lpstr>07_SOCIAL_DSN</vt:lpstr>
      <vt:lpstr>08_CONTROLES</vt:lpstr>
      <vt:lpstr>09_PARAMETRES_SOURCES</vt:lpstr>
      <vt:lpstr>AGE</vt:lpstr>
      <vt:lpstr>BG_CLASSE</vt:lpstr>
      <vt:lpstr>BG_CPT</vt:lpstr>
      <vt:lpstr>BG_ESRS</vt:lpstr>
      <vt:lpstr>BG_INDIC</vt:lpstr>
      <vt:lpstr>BG_MONTANT</vt:lpstr>
      <vt:lpstr>BG_PILIER</vt:lpstr>
      <vt:lpstr>BG_PREF2</vt:lpstr>
      <vt:lpstr>BG_QTE</vt:lpstr>
      <vt:lpstr>BG_SCOPE</vt:lpstr>
      <vt:lpstr>BG_TCO2</vt:lpstr>
      <vt:lpstr>BG_THEME</vt:lpstr>
      <vt:lpstr>BG_UNITE</vt:lpstr>
      <vt:lpstr>CA</vt:lpstr>
      <vt:lpstr>CDD_AVG</vt:lpstr>
      <vt:lpstr>CDI_AVG</vt:lpstr>
      <vt:lpstr>CHARGES</vt:lpstr>
      <vt:lpstr>CHARGES_SOC</vt:lpstr>
      <vt:lpstr>D_AGE</vt:lpstr>
      <vt:lpstr>D_CDD</vt:lpstr>
      <vt:lpstr>D_CDI</vt:lpstr>
      <vt:lpstr>D_CONV</vt:lpstr>
      <vt:lpstr>D_EFF</vt:lpstr>
      <vt:lpstr>D_ETP</vt:lpstr>
      <vt:lpstr>D_F</vt:lpstr>
      <vt:lpstr>D_H</vt:lpstr>
      <vt:lpstr>D_MOIS</vt:lpstr>
      <vt:lpstr>D_REMF</vt:lpstr>
      <vt:lpstr>D_REMH</vt:lpstr>
      <vt:lpstr>D_SMIC</vt:lpstr>
      <vt:lpstr>DECHET_T</vt:lpstr>
      <vt:lpstr>DONS</vt:lpstr>
      <vt:lpstr>EAU_AUTO</vt:lpstr>
      <vt:lpstr>EAU_M3</vt:lpstr>
      <vt:lpstr>EAU_PRELEV_RET</vt:lpstr>
      <vt:lpstr>ECART_REMU</vt:lpstr>
      <vt:lpstr>EFF</vt:lpstr>
      <vt:lpstr>ENER_CHAL</vt:lpstr>
      <vt:lpstr>ENER_ELEC</vt:lpstr>
      <vt:lpstr>ENER_GAZ</vt:lpstr>
      <vt:lpstr>ENER_MWH</vt:lpstr>
      <vt:lpstr>ENER_TOT</vt:lpstr>
      <vt:lpstr>ETP</vt:lpstr>
      <vt:lpstr>F_AVG</vt:lpstr>
      <vt:lpstr>FISCAL</vt:lpstr>
      <vt:lpstr>GES_RET</vt:lpstr>
      <vt:lpstr>GES_TOT</vt:lpstr>
      <vt:lpstr>GES1</vt:lpstr>
      <vt:lpstr>GES2</vt:lpstr>
      <vt:lpstr>GES3</vt:lpstr>
      <vt:lpstr>H_AVG</vt:lpstr>
      <vt:lpstr>M_ABSENCE_JOURS</vt:lpstr>
      <vt:lpstr>M_ACHAT_LOCAL</vt:lpstr>
      <vt:lpstr>M_AMENDES</vt:lpstr>
      <vt:lpstr>M_AT</vt:lpstr>
      <vt:lpstr>M_AT_DECES</vt:lpstr>
      <vt:lpstr>M_AT_JOURS</vt:lpstr>
      <vt:lpstr>M_BIODIV_SITES</vt:lpstr>
      <vt:lpstr>M_CARBURANT</vt:lpstr>
      <vt:lpstr>M_CODE_CONDUITE</vt:lpstr>
      <vt:lpstr>M_CONDAMNATIONS</vt:lpstr>
      <vt:lpstr>M_DECHET_DANGEREUX</vt:lpstr>
      <vt:lpstr>M_DECHET_T</vt:lpstr>
      <vt:lpstr>M_DECHET_VALOR</vt:lpstr>
      <vt:lpstr>M_EAU_M3</vt:lpstr>
      <vt:lpstr>M_EAU_PRELEV</vt:lpstr>
      <vt:lpstr>M_ELEC_RENOUV</vt:lpstr>
      <vt:lpstr>M_ENERGIE_DECL</vt:lpstr>
      <vt:lpstr>M_FEMMES_CADRES</vt:lpstr>
      <vt:lpstr>M_FLUX_MATIERES</vt:lpstr>
      <vt:lpstr>M_FORM_EFFECTIF</vt:lpstr>
      <vt:lpstr>M_FORM_HEURES</vt:lpstr>
      <vt:lpstr>M_FORM_HEURES_F</vt:lpstr>
      <vt:lpstr>M_FORM_HEURES_H</vt:lpstr>
      <vt:lpstr>M_OBJ_CO2</vt:lpstr>
      <vt:lpstr>M_OBJ_FEMMES</vt:lpstr>
      <vt:lpstr>M_OBJ_FORM</vt:lpstr>
      <vt:lpstr>M_PART_COMBUST</vt:lpstr>
      <vt:lpstr>M_POL_DURABLE</vt:lpstr>
      <vt:lpstr>M_POLLUANTS</vt:lpstr>
      <vt:lpstr>M_REFERENTIEL</vt:lpstr>
      <vt:lpstr>M_SCOPE1_DECL</vt:lpstr>
      <vt:lpstr>M_SCOPE2_DECL</vt:lpstr>
      <vt:lpstr>M_SMIC_MENSUEL</vt:lpstr>
      <vt:lpstr>M_SOC_MISSION</vt:lpstr>
      <vt:lpstr>M_STRESS_HYDR</vt:lpstr>
      <vt:lpstr>M_SURFACE</vt:lpstr>
      <vt:lpstr>M_SURFACE_IMPER</vt:lpstr>
      <vt:lpstr>M_TURN_ARR</vt:lpstr>
      <vt:lpstr>M_TURN_DEP</vt:lpstr>
      <vt:lpstr>MASSE_SAL</vt:lpstr>
      <vt:lpstr>NSMIC_AVG</vt:lpstr>
      <vt:lpstr>P_ESRS</vt:lpstr>
      <vt:lpstr>P_FEMO</vt:lpstr>
      <vt:lpstr>P_FEPH</vt:lpstr>
      <vt:lpstr>P_FEUR</vt:lpstr>
      <vt:lpstr>P_IND</vt:lpstr>
      <vt:lpstr>P_METH</vt:lpstr>
      <vt:lpstr>P_PIL</vt:lpstr>
      <vt:lpstr>P_PREF</vt:lpstr>
      <vt:lpstr>P_SCOPE</vt:lpstr>
      <vt:lpstr>P_THE</vt:lpstr>
      <vt:lpstr>P_TYPE</vt:lpstr>
      <vt:lpstr>P_UNIT</vt:lpstr>
      <vt:lpstr>PARAM_DOSSIER</vt:lpstr>
      <vt:lpstr>PARAM_DSNEXT</vt:lpstr>
      <vt:lpstr>PARAM_FEC</vt:lpstr>
      <vt:lpstr>PCT_CDI</vt:lpstr>
      <vt:lpstr>PCT_CONV</vt:lpstr>
      <vt:lpstr>PCT_F</vt:lpstr>
      <vt:lpstr>PCT_SMIC</vt:lpstr>
      <vt:lpstr>PILOTAGE_ESG</vt:lpstr>
      <vt:lpstr>PRODUITS</vt:lpstr>
      <vt:lpstr>REMF</vt:lpstr>
      <vt:lpstr>REMH</vt:lpstr>
      <vt:lpstr>SCOPE1_RET</vt:lpstr>
      <vt:lpstr>SCOPE2_RET</vt:lpstr>
      <vt:lpstr>ZONE_STATUT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 Remmal</dc:creator>
  <cp:lastModifiedBy>REMMAL YASSINE</cp:lastModifiedBy>
  <dcterms:created xsi:type="dcterms:W3CDTF">2026-06-24T20:07:37Z</dcterms:created>
  <dcterms:modified xsi:type="dcterms:W3CDTF">2026-06-28T21:52:07Z</dcterms:modified>
</cp:coreProperties>
</file>